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DeepSeek R1 0528" sheetId="3" r:id="rId1"/>
    <sheet name="Gemini 3 Pro" sheetId="5" r:id="rId2"/>
    <sheet name="GLM-4.5-Air" sheetId="2" r:id="rId3"/>
    <sheet name="GPT-5 Mini" sheetId="4" r:id="rId4"/>
    <sheet name="Qwen3 Coder 30B" sheetId="1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<sst xmlns="http://schemas.openxmlformats.org/spreadsheetml/2006/main" count="170" uniqueCount="35">
  <si>
    <t>DeepSeek R1 0528</t>
  </si>
  <si>
    <t>Compilability index (%)</t>
  </si>
  <si>
    <t>Validity index (%)</t>
  </si>
  <si>
    <t>Code coverage (%)</t>
  </si>
  <si>
    <t>Mutation score (%)</t>
  </si>
  <si>
    <t>Execution time (s)</t>
  </si>
  <si>
    <t>Prompt tokens</t>
  </si>
  <si>
    <t>Completion tokens</t>
  </si>
  <si>
    <t>Total tokens</t>
  </si>
  <si>
    <t>Total cost ($)</t>
  </si>
  <si>
    <t>Readability index (%)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</si>
  <si>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</si>
  <si>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</si>
  <si>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</si>
  <si>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</si>
  <si>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</si>
  <si>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</si>
  <si>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</si>
  <si>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</si>
  <si>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</si>
  <si>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</si>
  <si>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</si>
  <si>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</si>
  <si>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</si>
  <si>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</si>
  <si>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</si>
  <si>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</si>
  <si>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</si>
  <si>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</si>
  <si>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</si>
  <si>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</si>
  <si>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Gemini 3 Pro</t>
  </si>
  <si>
    <t>GLM-4.5-Air</t>
  </si>
  <si>
    <t>GPT-5 Mini</t>
  </si>
  <si>
    <t>Qwen3 Coder 30B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</si>
</sst>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Compilability index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5"/>
                <c:pt idx="0">
                  <c:v>99.9</c:v>
                </c:pt>
                <c:pt idx="1">
                  <c:v>99.85</c:v>
                </c:pt>
                <c:pt idx="2">
                  <c:v>99.95</c:v>
                </c:pt>
                <c:pt idx="3">
                  <c:v>99.95</c:v>
                </c:pt>
                <c:pt idx="4">
                  <c:v>97.45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28347277"/>
        <c:axId val="153984278"/>
      </c:barChart>
      <c:catAx>
        <c:axId val="4283472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984278"/>
        <c:crosses val="autoZero"/>
        <c:auto val="1"/>
        <c:lblAlgn val="ctr"/>
        <c:lblOffset val="100"/>
        <c:noMultiLvlLbl val="0"/>
      </c:catAx>
      <c:valAx>
        <c:axId val="1539842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3472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528417-22e4-4074-8ea8-1a6f47b8ea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Validity index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Summary!$C$2:$C$6</c:f>
              <c:numCache>
                <c:formatCode>General</c:formatCode>
                <c:ptCount val="5"/>
                <c:pt idx="0">
                  <c:v>96.665</c:v>
                </c:pt>
                <c:pt idx="1">
                  <c:v>93.67</c:v>
                </c:pt>
                <c:pt idx="2">
                  <c:v>91.21</c:v>
                </c:pt>
                <c:pt idx="3">
                  <c:v>83.67</c:v>
                </c:pt>
                <c:pt idx="4">
                  <c:v>82.315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31718307"/>
        <c:axId val="958135564"/>
      </c:barChart>
      <c:catAx>
        <c:axId val="4317183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135564"/>
        <c:crosses val="autoZero"/>
        <c:auto val="1"/>
        <c:lblAlgn val="ctr"/>
        <c:lblOffset val="100"/>
        <c:noMultiLvlLbl val="0"/>
      </c:catAx>
      <c:valAx>
        <c:axId val="9581355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7183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2ec1d9-eb74-4917-aa3a-2beb28a74d3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Code coverage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Summary!$D$2:$D$6</c:f>
              <c:numCache>
                <c:formatCode>General</c:formatCode>
                <c:ptCount val="5"/>
                <c:pt idx="0">
                  <c:v>99.6</c:v>
                </c:pt>
                <c:pt idx="1">
                  <c:v>99.2</c:v>
                </c:pt>
                <c:pt idx="2">
                  <c:v>98.6</c:v>
                </c:pt>
                <c:pt idx="3">
                  <c:v>96.6</c:v>
                </c:pt>
                <c:pt idx="4">
                  <c:v>92.15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62901213"/>
        <c:axId val="471229845"/>
      </c:barChart>
      <c:catAx>
        <c:axId val="7629012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229845"/>
        <c:crosses val="autoZero"/>
        <c:auto val="1"/>
        <c:lblAlgn val="ctr"/>
        <c:lblOffset val="100"/>
        <c:noMultiLvlLbl val="0"/>
      </c:catAx>
      <c:valAx>
        <c:axId val="4712298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29012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5df70e-9f76-4f20-aa64-94627cebd7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Mutation score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Summary!$E$2:$E$6</c:f>
              <c:numCache>
                <c:formatCode>General</c:formatCode>
                <c:ptCount val="5"/>
                <c:pt idx="0">
                  <c:v>88.335</c:v>
                </c:pt>
                <c:pt idx="1">
                  <c:v>87.575</c:v>
                </c:pt>
                <c:pt idx="2">
                  <c:v>83.555</c:v>
                </c:pt>
                <c:pt idx="3">
                  <c:v>72.88</c:v>
                </c:pt>
                <c:pt idx="4">
                  <c:v>82.34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01671744"/>
        <c:axId val="448509834"/>
      </c:barChart>
      <c:catAx>
        <c:axId val="7016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509834"/>
        <c:crosses val="autoZero"/>
        <c:auto val="1"/>
        <c:lblAlgn val="ctr"/>
        <c:lblOffset val="100"/>
        <c:noMultiLvlLbl val="0"/>
      </c:catAx>
      <c:valAx>
        <c:axId val="4485098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6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9bf707-487d-4795-b9e4-b345d0baa0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Summary!$F$2:$F$6</c:f>
              <c:numCache>
                <c:formatCode>General</c:formatCode>
                <c:ptCount val="5"/>
                <c:pt idx="0">
                  <c:v>65.96475</c:v>
                </c:pt>
                <c:pt idx="1">
                  <c:v>39.8397</c:v>
                </c:pt>
                <c:pt idx="2">
                  <c:v>204.5098</c:v>
                </c:pt>
                <c:pt idx="3">
                  <c:v>8.2168</c:v>
                </c:pt>
                <c:pt idx="4">
                  <c:v>14.76365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77583421"/>
        <c:axId val="148578144"/>
      </c:barChart>
      <c:catAx>
        <c:axId val="9775834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578144"/>
        <c:crosses val="autoZero"/>
        <c:auto val="1"/>
        <c:lblAlgn val="ctr"/>
        <c:lblOffset val="100"/>
        <c:noMultiLvlLbl val="0"/>
      </c:catAx>
      <c:valAx>
        <c:axId val="1485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5834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a7aa27-3077-4e95-a428-4a4b79b0cc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Prompt tokens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Summary!$G$2:$G$6</c:f>
              <c:numCache>
                <c:formatCode>General</c:formatCode>
                <c:ptCount val="5"/>
                <c:pt idx="0">
                  <c:v>5749.75</c:v>
                </c:pt>
                <c:pt idx="1">
                  <c:v>1578.4</c:v>
                </c:pt>
                <c:pt idx="2">
                  <c:v>1914.55</c:v>
                </c:pt>
                <c:pt idx="3">
                  <c:v>1557.4</c:v>
                </c:pt>
                <c:pt idx="4">
                  <c:v>1553.8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7216809"/>
        <c:axId val="625117569"/>
      </c:barChart>
      <c:catAx>
        <c:axId val="33721680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117569"/>
        <c:crosses val="autoZero"/>
        <c:auto val="1"/>
        <c:lblAlgn val="ctr"/>
        <c:lblOffset val="100"/>
        <c:noMultiLvlLbl val="0"/>
      </c:catAx>
      <c:valAx>
        <c:axId val="625117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721680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18b499-1654-4420-b669-bfcb1a5d977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Completion tokens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Summary!$H$2:$H$6</c:f>
              <c:numCache>
                <c:formatCode>General</c:formatCode>
                <c:ptCount val="5"/>
                <c:pt idx="0">
                  <c:v>5826.8</c:v>
                </c:pt>
                <c:pt idx="1">
                  <c:v>2869.65</c:v>
                </c:pt>
                <c:pt idx="2">
                  <c:v>5221.1</c:v>
                </c:pt>
                <c:pt idx="3">
                  <c:v>1185.65</c:v>
                </c:pt>
                <c:pt idx="4">
                  <c:v>1572.7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4705690"/>
        <c:axId val="451314841"/>
      </c:barChart>
      <c:catAx>
        <c:axId val="4647056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314841"/>
        <c:crosses val="autoZero"/>
        <c:auto val="1"/>
        <c:lblAlgn val="ctr"/>
        <c:lblOffset val="100"/>
        <c:noMultiLvlLbl val="0"/>
      </c:catAx>
      <c:valAx>
        <c:axId val="4513148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47056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c51f07-7c18-4db8-873d-6caec4f8e8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</c:f>
              <c:strCache>
                <c:ptCount val="1"/>
                <c:pt idx="0">
                  <c:v>Total tokens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Summary!$I$2:$I$6</c:f>
              <c:numCache>
                <c:formatCode>General</c:formatCode>
                <c:ptCount val="5"/>
                <c:pt idx="0">
                  <c:v>7620.95</c:v>
                </c:pt>
                <c:pt idx="1">
                  <c:v>4448.05</c:v>
                </c:pt>
                <c:pt idx="2">
                  <c:v>7135.65</c:v>
                </c:pt>
                <c:pt idx="3">
                  <c:v>2743.05</c:v>
                </c:pt>
                <c:pt idx="4">
                  <c:v>3126.5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10759159"/>
        <c:axId val="828437937"/>
      </c:barChart>
      <c:catAx>
        <c:axId val="510759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37937"/>
        <c:crosses val="autoZero"/>
        <c:auto val="1"/>
        <c:lblAlgn val="ctr"/>
        <c:lblOffset val="100"/>
        <c:noMultiLvlLbl val="0"/>
      </c:catAx>
      <c:valAx>
        <c:axId val="8284379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75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68a8ec-26c2-4cf4-8e55-74896a939c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Summary!$J$2:$J$6</c:f>
              <c:numCache>
                <c:formatCode>General</c:formatCode>
                <c:ptCount val="5"/>
                <c:pt idx="0">
                  <c:v>0.0735099</c:v>
                </c:pt>
                <c:pt idx="1">
                  <c:v>0.0061339</c:v>
                </c:pt>
                <c:pt idx="2">
                  <c:v>0.01406228</c:v>
                </c:pt>
                <c:pt idx="3">
                  <c:v>0.000511435</c:v>
                </c:pt>
                <c:pt idx="4">
                  <c:v>0.0011527088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26271834"/>
        <c:axId val="450982873"/>
      </c:barChart>
      <c:catAx>
        <c:axId val="3262718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982873"/>
        <c:crosses val="autoZero"/>
        <c:auto val="1"/>
        <c:lblAlgn val="ctr"/>
        <c:lblOffset val="100"/>
        <c:noMultiLvlLbl val="0"/>
      </c:catAx>
      <c:valAx>
        <c:axId val="4509828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2718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d832f6-834e-4e92-b09b-14dc1a8098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Summary!$K$1</c:f>
              <c:strCache>
                <c:ptCount val="1"/>
                <c:pt idx="0">
                  <c:v>Readability index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Summary!$A$2:$A$6</c:f>
              <c:strCache>
                <c:ptCount val="5"/>
                <c:pt idx="0">
                  <c:v>Gemini 3 Pro</c:v>
                </c:pt>
                <c:pt idx="1">
                  <c:v>GPT-5 Mini</c:v>
                </c:pt>
                <c:pt idx="2">
                  <c:v>DeepSeek R1 0528</c:v>
                </c:pt>
                <c:pt idx="3">
                  <c:v>Qwen3 Coder 30B</c:v>
                </c:pt>
                <c:pt idx="4">
                  <c:v>GLM-4.5-Air</c:v>
                </c:pt>
              </c:strCache>
            </c:strRef>
          </c:cat>
          <c:val>
            <c:numRef>
              <c:f>Summary!$K$2:$K$6</c:f>
              <c:numCache>
                <c:formatCode>General</c:formatCode>
                <c:ptCount val="5"/>
                <c:pt idx="0">
                  <c:v>86.9</c:v>
                </c:pt>
                <c:pt idx="1">
                  <c:v>85.84</c:v>
                </c:pt>
                <c:pt idx="2">
                  <c:v>87.08</c:v>
                </c:pt>
                <c:pt idx="3">
                  <c:v>84.21</c:v>
                </c:pt>
                <c:pt idx="4">
                  <c:v>81.86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98230630"/>
        <c:axId val="500983183"/>
      </c:barChart>
      <c:catAx>
        <c:axId val="5982306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983183"/>
        <c:crosses val="autoZero"/>
        <c:auto val="1"/>
        <c:lblAlgn val="ctr"/>
        <c:lblOffset val="100"/>
        <c:noMultiLvlLbl val="0"/>
      </c:catAx>
      <c:valAx>
        <c:axId val="5009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82306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ee7fe6-af1a-45d8-9023-dcc572baef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24130</xdr:colOff>
      <xdr:row>6</xdr:row>
      <xdr:rowOff>41910</xdr:rowOff>
    </xdr:from>
    <xdr:to>
      <xdr:col>1</xdr:col>
      <xdr:colOff>1352550</xdr:colOff>
      <xdr:row>21</xdr:row>
      <xdr:rowOff>97790</xdr:rowOff>
    </xdr:to>
    <xdr:graphicFrame>
      <xdr:nvGraphicFramePr>
        <xdr:cNvPr id="2" name="Диаграмма 1"/>
        <xdr:cNvGraphicFramePr/>
      </xdr:nvGraphicFramePr>
      <xdr:xfrm>
        <a:off x="24130" y="1230630"/>
        <a:ext cx="287528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1503045</xdr:colOff>
      <xdr:row>6</xdr:row>
      <xdr:rowOff>51435</xdr:rowOff>
    </xdr:from>
    <xdr:to>
      <xdr:col>3</xdr:col>
      <xdr:colOff>1047750</xdr:colOff>
      <xdr:row>21</xdr:row>
      <xdr:rowOff>107315</xdr:rowOff>
    </xdr:to>
    <xdr:graphicFrame>
      <xdr:nvGraphicFramePr>
        <xdr:cNvPr id="4" name="Диаграмма 3"/>
        <xdr:cNvGraphicFramePr/>
      </xdr:nvGraphicFramePr>
      <xdr:xfrm>
        <a:off x="3049905" y="1240155"/>
        <a:ext cx="2874645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1120775</xdr:colOff>
      <xdr:row>6</xdr:row>
      <xdr:rowOff>72390</xdr:rowOff>
    </xdr:from>
    <xdr:to>
      <xdr:col>5</xdr:col>
      <xdr:colOff>845185</xdr:colOff>
      <xdr:row>21</xdr:row>
      <xdr:rowOff>128270</xdr:rowOff>
    </xdr:to>
    <xdr:graphicFrame>
      <xdr:nvGraphicFramePr>
        <xdr:cNvPr id="5" name="Диаграмма 4"/>
        <xdr:cNvGraphicFramePr/>
      </xdr:nvGraphicFramePr>
      <xdr:xfrm>
        <a:off x="5997575" y="1261110"/>
        <a:ext cx="287909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977265</xdr:colOff>
      <xdr:row>6</xdr:row>
      <xdr:rowOff>68580</xdr:rowOff>
    </xdr:from>
    <xdr:to>
      <xdr:col>7</xdr:col>
      <xdr:colOff>1113790</xdr:colOff>
      <xdr:row>21</xdr:row>
      <xdr:rowOff>123190</xdr:rowOff>
    </xdr:to>
    <xdr:graphicFrame>
      <xdr:nvGraphicFramePr>
        <xdr:cNvPr id="6" name="Диаграмма 5"/>
        <xdr:cNvGraphicFramePr/>
      </xdr:nvGraphicFramePr>
      <xdr:xfrm>
        <a:off x="9008745" y="1257300"/>
        <a:ext cx="2879725" cy="2912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1516380</xdr:colOff>
      <xdr:row>22</xdr:row>
      <xdr:rowOff>76200</xdr:rowOff>
    </xdr:from>
    <xdr:to>
      <xdr:col>3</xdr:col>
      <xdr:colOff>1061085</xdr:colOff>
      <xdr:row>37</xdr:row>
      <xdr:rowOff>132080</xdr:rowOff>
    </xdr:to>
    <xdr:graphicFrame>
      <xdr:nvGraphicFramePr>
        <xdr:cNvPr id="7" name="Диаграмма 6"/>
        <xdr:cNvGraphicFramePr/>
      </xdr:nvGraphicFramePr>
      <xdr:xfrm>
        <a:off x="3063240" y="4312920"/>
        <a:ext cx="2874645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1114425</xdr:colOff>
      <xdr:row>22</xdr:row>
      <xdr:rowOff>93980</xdr:rowOff>
    </xdr:from>
    <xdr:to>
      <xdr:col>5</xdr:col>
      <xdr:colOff>839470</xdr:colOff>
      <xdr:row>37</xdr:row>
      <xdr:rowOff>149860</xdr:rowOff>
    </xdr:to>
    <xdr:graphicFrame>
      <xdr:nvGraphicFramePr>
        <xdr:cNvPr id="8" name="Диаграмма 7"/>
        <xdr:cNvGraphicFramePr/>
      </xdr:nvGraphicFramePr>
      <xdr:xfrm>
        <a:off x="5991225" y="4330700"/>
        <a:ext cx="2879725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973455</xdr:colOff>
      <xdr:row>22</xdr:row>
      <xdr:rowOff>75565</xdr:rowOff>
    </xdr:from>
    <xdr:to>
      <xdr:col>7</xdr:col>
      <xdr:colOff>1109345</xdr:colOff>
      <xdr:row>37</xdr:row>
      <xdr:rowOff>131445</xdr:rowOff>
    </xdr:to>
    <xdr:graphicFrame>
      <xdr:nvGraphicFramePr>
        <xdr:cNvPr id="9" name="Диаграмма 8"/>
        <xdr:cNvGraphicFramePr/>
      </xdr:nvGraphicFramePr>
      <xdr:xfrm>
        <a:off x="9004935" y="4312285"/>
        <a:ext cx="287909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1259840</xdr:colOff>
      <xdr:row>22</xdr:row>
      <xdr:rowOff>47625</xdr:rowOff>
    </xdr:from>
    <xdr:to>
      <xdr:col>10</xdr:col>
      <xdr:colOff>392430</xdr:colOff>
      <xdr:row>37</xdr:row>
      <xdr:rowOff>103505</xdr:rowOff>
    </xdr:to>
    <xdr:graphicFrame>
      <xdr:nvGraphicFramePr>
        <xdr:cNvPr id="10" name="Диаграмма 9"/>
        <xdr:cNvGraphicFramePr/>
      </xdr:nvGraphicFramePr>
      <xdr:xfrm>
        <a:off x="12034520" y="4284345"/>
        <a:ext cx="288163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23495</xdr:colOff>
      <xdr:row>22</xdr:row>
      <xdr:rowOff>58420</xdr:rowOff>
    </xdr:from>
    <xdr:to>
      <xdr:col>1</xdr:col>
      <xdr:colOff>1351915</xdr:colOff>
      <xdr:row>37</xdr:row>
      <xdr:rowOff>114300</xdr:rowOff>
    </xdr:to>
    <xdr:graphicFrame>
      <xdr:nvGraphicFramePr>
        <xdr:cNvPr id="11" name="Диаграмма 10"/>
        <xdr:cNvGraphicFramePr/>
      </xdr:nvGraphicFramePr>
      <xdr:xfrm>
        <a:off x="23495" y="4295140"/>
        <a:ext cx="287528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1268730</xdr:colOff>
      <xdr:row>6</xdr:row>
      <xdr:rowOff>78105</xdr:rowOff>
    </xdr:from>
    <xdr:to>
      <xdr:col>10</xdr:col>
      <xdr:colOff>401320</xdr:colOff>
      <xdr:row>21</xdr:row>
      <xdr:rowOff>133985</xdr:rowOff>
    </xdr:to>
    <xdr:graphicFrame>
      <xdr:nvGraphicFramePr>
        <xdr:cNvPr id="12" name="Диаграмма 11"/>
        <xdr:cNvGraphicFramePr/>
      </xdr:nvGraphicFramePr>
      <xdr:xfrm>
        <a:off x="12043410" y="1266825"/>
        <a:ext cx="2881630" cy="2913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85" zoomScaleNormal="85" workbookViewId="0">
      <selection activeCell="K24" sqref="K24"/>
    </sheetView>
  </sheetViews>
  <sheetFormatPr defaultColWidth="8.88888888888889" defaultRowHeight="15"/>
  <cols>
    <col min="1" max="1" width="12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8.88888888888889" style="2"/>
  </cols>
  <sheetData>
    <row r="1" ht="15.6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15.6" spans="1:11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5.6" spans="1:11">
      <c r="A3" s="4" t="s">
        <v>11</v>
      </c>
      <c r="B3" s="5">
        <v>100</v>
      </c>
      <c r="C3" s="5">
        <v>100</v>
      </c>
      <c r="D3" s="5">
        <v>100</v>
      </c>
      <c r="E3" s="5">
        <v>100</v>
      </c>
      <c r="F3" s="8">
        <v>128.531</v>
      </c>
      <c r="G3" s="5">
        <v>1494</v>
      </c>
      <c r="H3" s="5">
        <v>3111</v>
      </c>
      <c r="I3" s="5">
        <v>4605</v>
      </c>
      <c r="J3" s="5">
        <v>0.0086616</v>
      </c>
      <c r="K3" s="5">
        <v>87.2</v>
      </c>
    </row>
    <row r="4" ht="15.6" spans="1:11">
      <c r="A4" s="4" t="s">
        <v>12</v>
      </c>
      <c r="B4" s="5">
        <v>100</v>
      </c>
      <c r="C4" s="5">
        <v>45</v>
      </c>
      <c r="D4" s="5">
        <v>95</v>
      </c>
      <c r="E4" s="5">
        <v>50</v>
      </c>
      <c r="F4" s="8">
        <v>439.15</v>
      </c>
      <c r="G4" s="5">
        <v>3904</v>
      </c>
      <c r="H4" s="5">
        <v>10200</v>
      </c>
      <c r="I4" s="5">
        <v>14104</v>
      </c>
      <c r="J4" s="5">
        <v>0.0276032</v>
      </c>
      <c r="K4" s="5">
        <v>82</v>
      </c>
    </row>
    <row r="5" ht="15.6" spans="1:11">
      <c r="A5" s="4" t="s">
        <v>13</v>
      </c>
      <c r="B5" s="5">
        <v>99</v>
      </c>
      <c r="C5" s="5">
        <v>68.4</v>
      </c>
      <c r="D5" s="5">
        <v>87</v>
      </c>
      <c r="E5" s="5">
        <v>50</v>
      </c>
      <c r="F5" s="8">
        <v>556.406</v>
      </c>
      <c r="G5" s="5">
        <v>2819</v>
      </c>
      <c r="H5" s="5">
        <v>13223</v>
      </c>
      <c r="I5" s="5">
        <v>16042</v>
      </c>
      <c r="J5" s="5">
        <v>0.0339904</v>
      </c>
      <c r="K5" s="5">
        <v>89.6</v>
      </c>
    </row>
    <row r="6" ht="15.6" spans="1:11">
      <c r="A6" s="4" t="s">
        <v>14</v>
      </c>
      <c r="B6" s="5">
        <v>100</v>
      </c>
      <c r="C6" s="5">
        <v>100</v>
      </c>
      <c r="D6" s="5">
        <v>100</v>
      </c>
      <c r="E6" s="5">
        <v>100</v>
      </c>
      <c r="F6" s="8">
        <v>192.574</v>
      </c>
      <c r="G6" s="5">
        <v>1393</v>
      </c>
      <c r="H6" s="5">
        <v>5669</v>
      </c>
      <c r="I6" s="5">
        <v>7062</v>
      </c>
      <c r="J6" s="5">
        <v>0.01472</v>
      </c>
      <c r="K6" s="5">
        <v>90</v>
      </c>
    </row>
    <row r="7" ht="15.6" spans="1:11">
      <c r="A7" s="4" t="s">
        <v>15</v>
      </c>
      <c r="B7" s="5">
        <v>100</v>
      </c>
      <c r="C7" s="5">
        <v>93.3</v>
      </c>
      <c r="D7" s="5">
        <v>100</v>
      </c>
      <c r="E7" s="5">
        <v>94.9</v>
      </c>
      <c r="F7" s="8">
        <v>81.496</v>
      </c>
      <c r="G7" s="5">
        <v>2511</v>
      </c>
      <c r="H7" s="5">
        <v>2362</v>
      </c>
      <c r="I7" s="5">
        <v>4873</v>
      </c>
      <c r="J7" s="5">
        <v>0.0076776</v>
      </c>
      <c r="K7" s="5">
        <v>87.2</v>
      </c>
    </row>
    <row r="8" ht="15.6" spans="1:11">
      <c r="A8" s="4" t="s">
        <v>16</v>
      </c>
      <c r="B8" s="5">
        <v>100</v>
      </c>
      <c r="C8" s="5">
        <v>100</v>
      </c>
      <c r="D8" s="5">
        <v>100</v>
      </c>
      <c r="E8" s="5">
        <v>95.8</v>
      </c>
      <c r="F8" s="8">
        <v>124.808</v>
      </c>
      <c r="G8" s="5">
        <v>2920</v>
      </c>
      <c r="H8" s="5">
        <v>3608</v>
      </c>
      <c r="I8" s="5">
        <v>6528</v>
      </c>
      <c r="J8" s="5">
        <v>0.0109952</v>
      </c>
      <c r="K8" s="5">
        <v>86</v>
      </c>
    </row>
    <row r="9" ht="15.6" spans="1:11">
      <c r="A9" s="4" t="s">
        <v>17</v>
      </c>
      <c r="B9" s="5">
        <v>100</v>
      </c>
      <c r="C9" s="5">
        <v>88.2</v>
      </c>
      <c r="D9" s="5">
        <v>100</v>
      </c>
      <c r="E9" s="5">
        <v>90.9</v>
      </c>
      <c r="F9" s="8">
        <v>83.767</v>
      </c>
      <c r="G9" s="5">
        <v>1900</v>
      </c>
      <c r="H9" s="5">
        <v>1633</v>
      </c>
      <c r="I9" s="5">
        <v>3533</v>
      </c>
      <c r="J9" s="5">
        <v>0.0054392</v>
      </c>
      <c r="K9" s="5">
        <v>88.4</v>
      </c>
    </row>
    <row r="10" ht="15.6" spans="1:11">
      <c r="A10" s="4" t="s">
        <v>18</v>
      </c>
      <c r="B10" s="5">
        <v>100</v>
      </c>
      <c r="C10" s="5">
        <v>85.7</v>
      </c>
      <c r="D10" s="5">
        <v>98</v>
      </c>
      <c r="E10" s="5">
        <v>72.6</v>
      </c>
      <c r="F10" s="8">
        <v>63.725</v>
      </c>
      <c r="G10" s="5">
        <v>1854</v>
      </c>
      <c r="H10" s="5">
        <v>1195</v>
      </c>
      <c r="I10" s="5">
        <v>3049</v>
      </c>
      <c r="J10" s="5">
        <v>0.0043512</v>
      </c>
      <c r="K10" s="5">
        <v>83.6</v>
      </c>
    </row>
    <row r="11" ht="15.6" spans="1:11">
      <c r="A11" s="4" t="s">
        <v>19</v>
      </c>
      <c r="B11" s="5">
        <v>100</v>
      </c>
      <c r="C11" s="5">
        <v>92.3</v>
      </c>
      <c r="D11" s="5">
        <v>98</v>
      </c>
      <c r="E11" s="5">
        <v>38.2</v>
      </c>
      <c r="F11" s="8">
        <v>299.424</v>
      </c>
      <c r="G11" s="5">
        <v>1740</v>
      </c>
      <c r="H11" s="5">
        <v>7859</v>
      </c>
      <c r="I11" s="5">
        <v>9599</v>
      </c>
      <c r="J11" s="5">
        <v>0.0202536</v>
      </c>
      <c r="K11" s="5">
        <v>76.2</v>
      </c>
    </row>
    <row r="12" ht="15.6" spans="1:11">
      <c r="A12" s="4" t="s">
        <v>20</v>
      </c>
      <c r="B12" s="5">
        <v>100</v>
      </c>
      <c r="C12" s="5">
        <v>95.2</v>
      </c>
      <c r="D12" s="5">
        <v>99</v>
      </c>
      <c r="E12" s="5">
        <v>91.4</v>
      </c>
      <c r="F12" s="8">
        <v>125.032</v>
      </c>
      <c r="G12" s="5">
        <v>2634</v>
      </c>
      <c r="H12" s="5">
        <v>3006</v>
      </c>
      <c r="I12" s="5">
        <v>5640</v>
      </c>
      <c r="J12" s="5">
        <v>0.0093216</v>
      </c>
      <c r="K12" s="5">
        <v>88.8</v>
      </c>
    </row>
    <row r="13" ht="15.6" spans="1:11">
      <c r="A13" s="4" t="s">
        <v>21</v>
      </c>
      <c r="B13" s="5">
        <v>100</v>
      </c>
      <c r="C13" s="5">
        <v>100</v>
      </c>
      <c r="D13" s="5">
        <v>100</v>
      </c>
      <c r="E13" s="5">
        <v>88.9</v>
      </c>
      <c r="F13" s="8">
        <v>532.181</v>
      </c>
      <c r="G13" s="5">
        <v>1534</v>
      </c>
      <c r="H13" s="5">
        <v>14187</v>
      </c>
      <c r="I13" s="5">
        <v>15721</v>
      </c>
      <c r="J13" s="5">
        <v>0.035276</v>
      </c>
      <c r="K13" s="5">
        <v>86</v>
      </c>
    </row>
    <row r="14" ht="15.6" spans="1:11">
      <c r="A14" s="4" t="s">
        <v>22</v>
      </c>
      <c r="B14" s="5">
        <v>100</v>
      </c>
      <c r="C14" s="5">
        <v>88.9</v>
      </c>
      <c r="D14" s="5">
        <v>98</v>
      </c>
      <c r="E14" s="5">
        <v>93.6</v>
      </c>
      <c r="F14" s="8">
        <v>350.067</v>
      </c>
      <c r="G14" s="5">
        <v>1897</v>
      </c>
      <c r="H14" s="5">
        <v>9997</v>
      </c>
      <c r="I14" s="5">
        <v>11894</v>
      </c>
      <c r="J14" s="5">
        <v>0.0255104</v>
      </c>
      <c r="K14" s="5">
        <v>86</v>
      </c>
    </row>
    <row r="15" ht="15.6" spans="1:11">
      <c r="A15" s="4" t="s">
        <v>23</v>
      </c>
      <c r="B15" s="5">
        <v>100</v>
      </c>
      <c r="C15" s="5">
        <v>95</v>
      </c>
      <c r="D15" s="5">
        <v>100</v>
      </c>
      <c r="E15" s="5">
        <v>66.7</v>
      </c>
      <c r="F15" s="8">
        <v>222.016</v>
      </c>
      <c r="G15" s="5">
        <v>1436</v>
      </c>
      <c r="H15" s="5">
        <v>5832</v>
      </c>
      <c r="I15" s="5">
        <v>7268</v>
      </c>
      <c r="J15" s="5">
        <v>0.0151456</v>
      </c>
      <c r="K15" s="5">
        <v>90.2</v>
      </c>
    </row>
    <row r="16" ht="15.6" spans="1:11">
      <c r="A16" s="4" t="s">
        <v>24</v>
      </c>
      <c r="B16" s="5">
        <v>100</v>
      </c>
      <c r="C16" s="5">
        <v>100</v>
      </c>
      <c r="D16" s="5">
        <v>100</v>
      </c>
      <c r="E16" s="5">
        <v>87.5</v>
      </c>
      <c r="F16" s="8">
        <v>167.66</v>
      </c>
      <c r="G16" s="5">
        <v>1829</v>
      </c>
      <c r="H16" s="5">
        <v>4321</v>
      </c>
      <c r="I16" s="5">
        <v>6150</v>
      </c>
      <c r="J16" s="5">
        <v>0.0118336</v>
      </c>
      <c r="K16" s="5">
        <v>83.2</v>
      </c>
    </row>
    <row r="17" ht="15.6" spans="1:11">
      <c r="A17" s="4" t="s">
        <v>25</v>
      </c>
      <c r="B17" s="5">
        <v>100</v>
      </c>
      <c r="C17" s="5">
        <v>100</v>
      </c>
      <c r="D17" s="5">
        <v>100</v>
      </c>
      <c r="E17" s="5">
        <v>100</v>
      </c>
      <c r="F17" s="8">
        <v>105.6</v>
      </c>
      <c r="G17" s="5">
        <v>1260</v>
      </c>
      <c r="H17" s="5">
        <v>2775</v>
      </c>
      <c r="I17" s="5">
        <v>4035</v>
      </c>
      <c r="J17" s="5">
        <v>0.007668</v>
      </c>
      <c r="K17" s="5">
        <v>92.2</v>
      </c>
    </row>
    <row r="18" ht="15.6" spans="1:11">
      <c r="A18" s="4" t="s">
        <v>26</v>
      </c>
      <c r="B18" s="5">
        <v>100</v>
      </c>
      <c r="C18" s="5">
        <v>93.8</v>
      </c>
      <c r="D18" s="5">
        <v>100</v>
      </c>
      <c r="E18" s="5">
        <v>100</v>
      </c>
      <c r="F18" s="8">
        <v>21.302</v>
      </c>
      <c r="G18" s="5">
        <v>1243</v>
      </c>
      <c r="H18" s="5">
        <v>603</v>
      </c>
      <c r="I18" s="5">
        <v>1846</v>
      </c>
      <c r="J18" s="5">
        <v>0.0024416</v>
      </c>
      <c r="K18" s="5">
        <v>89.8</v>
      </c>
    </row>
    <row r="19" ht="15.6" spans="1:11">
      <c r="A19" s="4" t="s">
        <v>27</v>
      </c>
      <c r="B19" s="5">
        <v>100</v>
      </c>
      <c r="C19" s="5">
        <v>100</v>
      </c>
      <c r="D19" s="5">
        <v>100</v>
      </c>
      <c r="E19" s="5">
        <v>94.9</v>
      </c>
      <c r="F19" s="8">
        <v>75.469</v>
      </c>
      <c r="G19" s="5">
        <v>1852</v>
      </c>
      <c r="H19" s="5">
        <v>2183</v>
      </c>
      <c r="I19" s="5">
        <v>4035</v>
      </c>
      <c r="J19" s="5">
        <v>0.0067208</v>
      </c>
      <c r="K19" s="5">
        <v>88.2</v>
      </c>
    </row>
    <row r="20" ht="15.6" spans="1:11">
      <c r="A20" s="4" t="s">
        <v>28</v>
      </c>
      <c r="B20" s="5">
        <v>100</v>
      </c>
      <c r="C20" s="5">
        <v>100</v>
      </c>
      <c r="D20" s="5">
        <v>100</v>
      </c>
      <c r="E20" s="5">
        <v>80.7</v>
      </c>
      <c r="F20" s="8">
        <v>69.563</v>
      </c>
      <c r="G20" s="5">
        <v>1383</v>
      </c>
      <c r="H20" s="5">
        <v>2032</v>
      </c>
      <c r="I20" s="5">
        <v>3415</v>
      </c>
      <c r="J20" s="5">
        <v>0.0059832</v>
      </c>
      <c r="K20" s="5">
        <v>89</v>
      </c>
    </row>
    <row r="21" ht="15.6" spans="1:11">
      <c r="A21" s="4" t="s">
        <v>29</v>
      </c>
      <c r="B21" s="5">
        <v>100</v>
      </c>
      <c r="C21" s="5">
        <v>90.9</v>
      </c>
      <c r="D21" s="5">
        <v>100</v>
      </c>
      <c r="E21" s="5">
        <v>100</v>
      </c>
      <c r="F21" s="8">
        <v>49.387</v>
      </c>
      <c r="G21" s="5">
        <v>1482</v>
      </c>
      <c r="H21" s="5">
        <v>1293</v>
      </c>
      <c r="I21" s="5">
        <v>2775</v>
      </c>
      <c r="J21" s="5">
        <v>0.0042888</v>
      </c>
      <c r="K21" s="5">
        <v>88.2</v>
      </c>
    </row>
    <row r="22" ht="15.6" spans="1:11">
      <c r="A22" s="4" t="s">
        <v>30</v>
      </c>
      <c r="B22" s="5">
        <v>100</v>
      </c>
      <c r="C22" s="5">
        <v>87.5</v>
      </c>
      <c r="D22" s="5">
        <v>97</v>
      </c>
      <c r="E22" s="5">
        <v>75</v>
      </c>
      <c r="F22" s="8">
        <v>402.038</v>
      </c>
      <c r="G22" s="5">
        <v>1206</v>
      </c>
      <c r="H22" s="5">
        <v>9333</v>
      </c>
      <c r="I22" s="5">
        <v>10539</v>
      </c>
      <c r="J22" s="5">
        <v>0.023364</v>
      </c>
      <c r="K22" s="5">
        <v>89.8</v>
      </c>
    </row>
    <row r="23" ht="15.6" spans="2:11">
      <c r="B23" s="9">
        <f t="shared" ref="B23:J23" si="0">AVERAGE(B3:B22)</f>
        <v>99.95</v>
      </c>
      <c r="C23" s="9">
        <f t="shared" si="0"/>
        <v>91.21</v>
      </c>
      <c r="D23" s="9">
        <f t="shared" si="0"/>
        <v>98.6</v>
      </c>
      <c r="E23" s="9">
        <f t="shared" si="0"/>
        <v>83.555</v>
      </c>
      <c r="F23" s="9">
        <f t="shared" si="0"/>
        <v>204.5098</v>
      </c>
      <c r="G23" s="4">
        <f t="shared" si="0"/>
        <v>1914.55</v>
      </c>
      <c r="H23" s="9">
        <f t="shared" si="0"/>
        <v>5221.1</v>
      </c>
      <c r="I23" s="9">
        <f t="shared" si="0"/>
        <v>7135.65</v>
      </c>
      <c r="J23" s="9">
        <f t="shared" si="0"/>
        <v>0.01406228</v>
      </c>
      <c r="K23" s="4">
        <f>AVERAGE(K3:K22)</f>
        <v>87.08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85" zoomScaleNormal="85" workbookViewId="0">
      <selection activeCell="K24" sqref="K24"/>
    </sheetView>
  </sheetViews>
  <sheetFormatPr defaultColWidth="8.88888888888889" defaultRowHeight="15"/>
  <cols>
    <col min="1" max="1" width="12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8.88888888888889" style="2"/>
  </cols>
  <sheetData>
    <row r="1" ht="15.6" spans="1:11">
      <c r="A1" s="4" t="s">
        <v>31</v>
      </c>
      <c r="B1" s="3"/>
      <c r="C1" s="3"/>
      <c r="D1" s="3"/>
      <c r="E1" s="3"/>
      <c r="F1" s="12"/>
      <c r="G1" s="3"/>
      <c r="H1" s="3"/>
      <c r="I1" s="3"/>
      <c r="J1" s="3"/>
      <c r="K1" s="3"/>
    </row>
    <row r="2" ht="15.6" spans="1:11">
      <c r="A2" s="3"/>
      <c r="B2" s="4" t="s">
        <v>1</v>
      </c>
      <c r="C2" s="4" t="s">
        <v>2</v>
      </c>
      <c r="D2" s="4" t="s">
        <v>3</v>
      </c>
      <c r="E2" s="4" t="s">
        <v>4</v>
      </c>
      <c r="F2" s="1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5.6" spans="1:11">
      <c r="A3" s="4" t="s">
        <v>11</v>
      </c>
      <c r="B3" s="5">
        <v>99</v>
      </c>
      <c r="C3" s="5">
        <v>100</v>
      </c>
      <c r="D3" s="5">
        <v>100</v>
      </c>
      <c r="E3" s="5">
        <v>100</v>
      </c>
      <c r="F3" s="8">
        <v>84.199</v>
      </c>
      <c r="G3" s="5">
        <v>1414</v>
      </c>
      <c r="H3" s="5">
        <v>5695</v>
      </c>
      <c r="I3" s="5">
        <v>7109</v>
      </c>
      <c r="J3" s="5">
        <v>0.071168</v>
      </c>
      <c r="K3" s="5">
        <v>91</v>
      </c>
    </row>
    <row r="4" ht="15.6" spans="1:11">
      <c r="A4" s="4" t="s">
        <v>12</v>
      </c>
      <c r="B4" s="5">
        <v>100</v>
      </c>
      <c r="C4" s="5">
        <v>100</v>
      </c>
      <c r="D4" s="5">
        <v>100</v>
      </c>
      <c r="E4" s="5">
        <v>85.5</v>
      </c>
      <c r="F4" s="8">
        <v>57.122</v>
      </c>
      <c r="G4" s="5">
        <v>3624</v>
      </c>
      <c r="H4" s="5">
        <v>6126</v>
      </c>
      <c r="I4" s="5">
        <v>9750</v>
      </c>
      <c r="J4" s="5">
        <v>0.08076</v>
      </c>
      <c r="K4" s="5">
        <v>84</v>
      </c>
    </row>
    <row r="5" ht="15.6" spans="1:11">
      <c r="A5" s="4" t="s">
        <v>13</v>
      </c>
      <c r="B5" s="5">
        <v>100</v>
      </c>
      <c r="C5" s="5">
        <v>94.4</v>
      </c>
      <c r="D5" s="5">
        <v>98</v>
      </c>
      <c r="E5" s="5">
        <v>77.5</v>
      </c>
      <c r="F5" s="8">
        <v>45.026</v>
      </c>
      <c r="G5" s="5">
        <v>2626</v>
      </c>
      <c r="H5" s="5">
        <v>4875</v>
      </c>
      <c r="I5" s="5">
        <v>7501</v>
      </c>
      <c r="J5" s="5">
        <v>0.063752</v>
      </c>
      <c r="K5" s="5">
        <v>89</v>
      </c>
    </row>
    <row r="6" ht="15.6" spans="1:11">
      <c r="A6" s="4" t="s">
        <v>14</v>
      </c>
      <c r="B6" s="5">
        <v>100</v>
      </c>
      <c r="C6" s="5">
        <v>100</v>
      </c>
      <c r="D6" s="5">
        <v>100</v>
      </c>
      <c r="E6" s="5">
        <v>100</v>
      </c>
      <c r="F6" s="8">
        <v>56.567</v>
      </c>
      <c r="G6" s="5">
        <v>1314</v>
      </c>
      <c r="H6" s="5">
        <v>5983</v>
      </c>
      <c r="I6" s="5">
        <v>7297</v>
      </c>
      <c r="J6" s="5">
        <v>0.074424</v>
      </c>
      <c r="K6" s="5">
        <v>90.4</v>
      </c>
    </row>
    <row r="7" ht="15.6" spans="1:11">
      <c r="A7" s="4" t="s">
        <v>15</v>
      </c>
      <c r="B7" s="5">
        <v>100</v>
      </c>
      <c r="C7" s="5">
        <v>50</v>
      </c>
      <c r="D7" s="5">
        <v>95</v>
      </c>
      <c r="E7" s="5">
        <v>74.4</v>
      </c>
      <c r="F7" s="8">
        <v>72.932</v>
      </c>
      <c r="G7" s="5">
        <v>2321</v>
      </c>
      <c r="H7" s="5">
        <v>4542</v>
      </c>
      <c r="I7" s="5">
        <v>6863</v>
      </c>
      <c r="J7" s="5">
        <v>0.059146</v>
      </c>
      <c r="K7" s="5">
        <v>87.8</v>
      </c>
    </row>
    <row r="8" ht="15.6" spans="1:11">
      <c r="A8" s="4" t="s">
        <v>16</v>
      </c>
      <c r="B8" s="5">
        <v>100</v>
      </c>
      <c r="C8" s="5">
        <v>100</v>
      </c>
      <c r="D8" s="5">
        <v>100</v>
      </c>
      <c r="E8" s="5">
        <v>95.7</v>
      </c>
      <c r="F8" s="8">
        <v>42.92</v>
      </c>
      <c r="G8" s="5">
        <v>2698</v>
      </c>
      <c r="H8" s="5">
        <v>4726</v>
      </c>
      <c r="I8" s="5">
        <v>7424</v>
      </c>
      <c r="J8" s="5">
        <v>0.062108</v>
      </c>
      <c r="K8" s="5">
        <v>85.8</v>
      </c>
    </row>
    <row r="9" ht="15.6" spans="1:11">
      <c r="A9" s="4" t="s">
        <v>17</v>
      </c>
      <c r="B9" s="5">
        <v>100</v>
      </c>
      <c r="C9" s="5">
        <v>100</v>
      </c>
      <c r="D9" s="5">
        <v>100</v>
      </c>
      <c r="E9" s="5">
        <v>90.9</v>
      </c>
      <c r="F9" s="8">
        <v>31.866</v>
      </c>
      <c r="G9" s="5">
        <v>1762</v>
      </c>
      <c r="H9" s="5">
        <v>3379</v>
      </c>
      <c r="I9" s="5">
        <v>5141</v>
      </c>
      <c r="J9" s="5">
        <v>0.044072</v>
      </c>
      <c r="K9" s="5">
        <v>90.6</v>
      </c>
    </row>
    <row r="10" ht="15.6" spans="1:11">
      <c r="A10" s="4" t="s">
        <v>18</v>
      </c>
      <c r="B10" s="5">
        <v>100</v>
      </c>
      <c r="C10" s="5">
        <v>100</v>
      </c>
      <c r="D10" s="5">
        <v>100</v>
      </c>
      <c r="E10" s="5">
        <v>90.2</v>
      </c>
      <c r="F10" s="8">
        <v>185.954</v>
      </c>
      <c r="G10" s="5">
        <v>1743</v>
      </c>
      <c r="H10" s="5">
        <v>9120</v>
      </c>
      <c r="I10" s="5">
        <v>10863</v>
      </c>
      <c r="J10" s="5">
        <v>0.112926</v>
      </c>
      <c r="K10" s="5">
        <v>79</v>
      </c>
    </row>
    <row r="11" ht="15.6" spans="1:11">
      <c r="A11" s="4" t="s">
        <v>19</v>
      </c>
      <c r="B11" s="5">
        <v>100</v>
      </c>
      <c r="C11" s="5">
        <v>100</v>
      </c>
      <c r="D11" s="5">
        <v>100</v>
      </c>
      <c r="E11" s="5">
        <v>44.1</v>
      </c>
      <c r="F11" s="8">
        <v>69.695</v>
      </c>
      <c r="G11" s="5">
        <v>1637</v>
      </c>
      <c r="H11" s="5">
        <v>6276</v>
      </c>
      <c r="I11" s="5">
        <v>7913</v>
      </c>
      <c r="J11" s="5">
        <v>0.078586</v>
      </c>
      <c r="K11" s="5">
        <v>74</v>
      </c>
    </row>
    <row r="12" ht="15.6" spans="1:11">
      <c r="A12" s="4" t="s">
        <v>20</v>
      </c>
      <c r="B12" s="5">
        <v>100</v>
      </c>
      <c r="C12" s="5">
        <v>100</v>
      </c>
      <c r="D12" s="5">
        <v>100</v>
      </c>
      <c r="E12" s="5">
        <v>96.6</v>
      </c>
      <c r="F12" s="8">
        <v>77.956</v>
      </c>
      <c r="G12" s="5">
        <v>81518</v>
      </c>
      <c r="H12" s="5">
        <v>4849</v>
      </c>
      <c r="I12" s="5">
        <v>7255</v>
      </c>
      <c r="J12" s="5">
        <v>0.063</v>
      </c>
      <c r="K12" s="5">
        <v>88.4</v>
      </c>
    </row>
    <row r="13" ht="15.6" spans="1:11">
      <c r="A13" s="4" t="s">
        <v>21</v>
      </c>
      <c r="B13" s="5">
        <v>100</v>
      </c>
      <c r="C13" s="5">
        <v>100</v>
      </c>
      <c r="D13" s="5">
        <v>100</v>
      </c>
      <c r="E13" s="5">
        <v>91.7</v>
      </c>
      <c r="F13" s="8">
        <v>63.729</v>
      </c>
      <c r="G13" s="5">
        <v>1456</v>
      </c>
      <c r="H13" s="5">
        <v>6112</v>
      </c>
      <c r="I13" s="5">
        <v>7568</v>
      </c>
      <c r="J13" s="5">
        <v>0.076256</v>
      </c>
      <c r="K13" s="5">
        <v>83.6</v>
      </c>
    </row>
    <row r="14" ht="15.6" spans="1:11">
      <c r="A14" s="4" t="s">
        <v>22</v>
      </c>
      <c r="B14" s="5">
        <v>100</v>
      </c>
      <c r="C14" s="5">
        <v>88.9</v>
      </c>
      <c r="D14" s="5">
        <v>99</v>
      </c>
      <c r="E14" s="5">
        <v>93.6</v>
      </c>
      <c r="F14" s="8">
        <v>91.71</v>
      </c>
      <c r="G14" s="5">
        <v>1797</v>
      </c>
      <c r="H14" s="5">
        <v>9946</v>
      </c>
      <c r="I14" s="5">
        <v>11743</v>
      </c>
      <c r="J14" s="5">
        <v>0.122946</v>
      </c>
      <c r="K14" s="5">
        <v>85.2</v>
      </c>
    </row>
    <row r="15" ht="15.6" spans="1:11">
      <c r="A15" s="4" t="s">
        <v>23</v>
      </c>
      <c r="B15" s="5">
        <v>100</v>
      </c>
      <c r="C15" s="5">
        <v>100</v>
      </c>
      <c r="D15" s="5">
        <v>100</v>
      </c>
      <c r="E15" s="5">
        <v>83.3</v>
      </c>
      <c r="F15" s="8">
        <v>38.716</v>
      </c>
      <c r="G15" s="5">
        <v>1348</v>
      </c>
      <c r="H15" s="5">
        <v>4074</v>
      </c>
      <c r="I15" s="5">
        <v>5422</v>
      </c>
      <c r="J15" s="5">
        <v>0.051584</v>
      </c>
      <c r="K15" s="5">
        <v>88.6</v>
      </c>
    </row>
    <row r="16" ht="15.6" spans="1:11">
      <c r="A16" s="4" t="s">
        <v>24</v>
      </c>
      <c r="B16" s="5">
        <v>99</v>
      </c>
      <c r="C16" s="5">
        <v>100</v>
      </c>
      <c r="D16" s="5">
        <v>100</v>
      </c>
      <c r="E16" s="5">
        <v>87.5</v>
      </c>
      <c r="F16" s="8">
        <v>41.836</v>
      </c>
      <c r="G16" s="5">
        <v>1716</v>
      </c>
      <c r="H16" s="5">
        <v>4575</v>
      </c>
      <c r="I16" s="5">
        <v>6291</v>
      </c>
      <c r="J16" s="5">
        <v>0.058332</v>
      </c>
      <c r="K16" s="5">
        <v>80.4</v>
      </c>
    </row>
    <row r="17" ht="15.6" spans="1:11">
      <c r="A17" s="4" t="s">
        <v>25</v>
      </c>
      <c r="B17" s="5">
        <v>100</v>
      </c>
      <c r="C17" s="5">
        <v>100</v>
      </c>
      <c r="D17" s="5">
        <v>100</v>
      </c>
      <c r="E17" s="5">
        <v>100</v>
      </c>
      <c r="F17" s="8">
        <v>45.809</v>
      </c>
      <c r="G17" s="5">
        <v>1201</v>
      </c>
      <c r="H17" s="5">
        <v>5118</v>
      </c>
      <c r="I17" s="5">
        <v>6319</v>
      </c>
      <c r="J17" s="5">
        <v>0.063818</v>
      </c>
      <c r="K17" s="5">
        <v>92.4</v>
      </c>
    </row>
    <row r="18" ht="15.6" spans="1:11">
      <c r="A18" s="4" t="s">
        <v>26</v>
      </c>
      <c r="B18" s="5">
        <v>100</v>
      </c>
      <c r="C18" s="5">
        <v>100</v>
      </c>
      <c r="D18" s="5">
        <v>100</v>
      </c>
      <c r="E18" s="5">
        <v>100</v>
      </c>
      <c r="F18" s="8">
        <v>57.405</v>
      </c>
      <c r="G18" s="5">
        <v>1184</v>
      </c>
      <c r="H18" s="5">
        <v>6082</v>
      </c>
      <c r="I18" s="5">
        <v>7266</v>
      </c>
      <c r="J18" s="5">
        <v>0.075352</v>
      </c>
      <c r="K18" s="5">
        <v>86</v>
      </c>
    </row>
    <row r="19" ht="15.6" spans="1:11">
      <c r="A19" s="4" t="s">
        <v>27</v>
      </c>
      <c r="B19" s="5">
        <v>100</v>
      </c>
      <c r="C19" s="5">
        <v>100</v>
      </c>
      <c r="D19" s="5">
        <v>100</v>
      </c>
      <c r="E19" s="5">
        <v>100</v>
      </c>
      <c r="F19" s="8">
        <v>82.833</v>
      </c>
      <c r="G19" s="5">
        <v>1751</v>
      </c>
      <c r="H19" s="5">
        <v>7547</v>
      </c>
      <c r="I19" s="5">
        <v>9298</v>
      </c>
      <c r="J19" s="5">
        <v>0.094066</v>
      </c>
      <c r="K19" s="5">
        <v>93.6</v>
      </c>
    </row>
    <row r="20" ht="15.6" spans="1:11">
      <c r="A20" s="4" t="s">
        <v>28</v>
      </c>
      <c r="B20" s="5">
        <v>100</v>
      </c>
      <c r="C20" s="5">
        <v>100</v>
      </c>
      <c r="D20" s="5">
        <v>100</v>
      </c>
      <c r="E20" s="5">
        <v>80.7</v>
      </c>
      <c r="F20" s="8">
        <v>38.239</v>
      </c>
      <c r="G20" s="5">
        <v>1330</v>
      </c>
      <c r="H20" s="5">
        <v>3734</v>
      </c>
      <c r="I20" s="5">
        <v>5064</v>
      </c>
      <c r="J20" s="5">
        <v>0.047468</v>
      </c>
      <c r="K20" s="5">
        <v>86.6</v>
      </c>
    </row>
    <row r="21" ht="15.6" spans="1:11">
      <c r="A21" s="4" t="s">
        <v>29</v>
      </c>
      <c r="B21" s="5">
        <v>100</v>
      </c>
      <c r="C21" s="5">
        <v>100</v>
      </c>
      <c r="D21" s="5">
        <v>100</v>
      </c>
      <c r="E21" s="5">
        <v>100</v>
      </c>
      <c r="F21" s="8">
        <v>69.834</v>
      </c>
      <c r="G21" s="5">
        <v>1407</v>
      </c>
      <c r="H21" s="5">
        <v>7257</v>
      </c>
      <c r="I21" s="5">
        <v>8664</v>
      </c>
      <c r="J21" s="5">
        <v>0.089898</v>
      </c>
      <c r="K21" s="5">
        <v>91.2</v>
      </c>
    </row>
    <row r="22" ht="15.6" spans="1:11">
      <c r="A22" s="4" t="s">
        <v>30</v>
      </c>
      <c r="B22" s="5">
        <v>100</v>
      </c>
      <c r="C22" s="5">
        <v>100</v>
      </c>
      <c r="D22" s="5">
        <v>100</v>
      </c>
      <c r="E22" s="5">
        <v>75</v>
      </c>
      <c r="F22" s="8">
        <v>64.947</v>
      </c>
      <c r="G22" s="5">
        <v>1148</v>
      </c>
      <c r="H22" s="5">
        <v>6520</v>
      </c>
      <c r="I22" s="5">
        <v>7668</v>
      </c>
      <c r="J22" s="5">
        <v>0.080536</v>
      </c>
      <c r="K22" s="5">
        <v>90.4</v>
      </c>
    </row>
    <row r="23" ht="15.6" spans="2:11">
      <c r="B23" s="9">
        <f t="shared" ref="B23:J23" si="0">AVERAGE(B3:B22)</f>
        <v>99.9</v>
      </c>
      <c r="C23" s="9">
        <f t="shared" si="0"/>
        <v>96.665</v>
      </c>
      <c r="D23" s="9">
        <f t="shared" si="0"/>
        <v>99.6</v>
      </c>
      <c r="E23" s="9">
        <f t="shared" si="0"/>
        <v>88.335</v>
      </c>
      <c r="F23" s="14">
        <f t="shared" si="0"/>
        <v>65.96475</v>
      </c>
      <c r="G23" s="4">
        <f t="shared" si="0"/>
        <v>5749.75</v>
      </c>
      <c r="H23" s="9">
        <f t="shared" si="0"/>
        <v>5826.8</v>
      </c>
      <c r="I23" s="9">
        <f t="shared" si="0"/>
        <v>7620.95</v>
      </c>
      <c r="J23" s="9">
        <f t="shared" si="0"/>
        <v>0.0735099</v>
      </c>
      <c r="K23" s="9">
        <f>AVERAGE(K3:K22)</f>
        <v>86.9</v>
      </c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85" zoomScaleNormal="85" workbookViewId="0">
      <selection activeCell="K24" sqref="K24"/>
    </sheetView>
  </sheetViews>
  <sheetFormatPr defaultColWidth="8.88888888888889" defaultRowHeight="15"/>
  <cols>
    <col min="1" max="1" width="12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8.88888888888889" style="1"/>
  </cols>
  <sheetData>
    <row r="1" ht="15.6" spans="1:11">
      <c r="A1" s="4" t="s">
        <v>32</v>
      </c>
      <c r="B1" s="3"/>
      <c r="C1" s="3"/>
      <c r="D1" s="3"/>
      <c r="E1" s="3"/>
      <c r="F1" s="12"/>
      <c r="G1" s="3"/>
      <c r="H1" s="3"/>
      <c r="I1" s="3"/>
      <c r="J1" s="3"/>
      <c r="K1" s="3"/>
    </row>
    <row r="2" ht="15.6" spans="1:11">
      <c r="A2" s="3"/>
      <c r="B2" s="4" t="s">
        <v>1</v>
      </c>
      <c r="C2" s="4" t="s">
        <v>2</v>
      </c>
      <c r="D2" s="4" t="s">
        <v>3</v>
      </c>
      <c r="E2" s="4" t="s">
        <v>4</v>
      </c>
      <c r="F2" s="1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5.6" spans="1:11">
      <c r="A3" s="4" t="s">
        <v>11</v>
      </c>
      <c r="B3" s="5">
        <v>100</v>
      </c>
      <c r="C3" s="5">
        <v>75</v>
      </c>
      <c r="D3" s="5">
        <v>91</v>
      </c>
      <c r="E3" s="5">
        <v>100</v>
      </c>
      <c r="F3" s="8">
        <v>8.216</v>
      </c>
      <c r="G3" s="5">
        <v>1266</v>
      </c>
      <c r="H3" s="5">
        <v>846</v>
      </c>
      <c r="I3" s="5">
        <v>2112</v>
      </c>
      <c r="J3" s="5">
        <v>0.000706528</v>
      </c>
      <c r="K3" s="5">
        <v>86.6</v>
      </c>
    </row>
    <row r="4" ht="15.6" spans="1:11">
      <c r="A4" s="4" t="s">
        <v>12</v>
      </c>
      <c r="B4" s="5">
        <v>94</v>
      </c>
      <c r="C4" s="5">
        <v>87.8</v>
      </c>
      <c r="D4" s="5">
        <v>98</v>
      </c>
      <c r="E4" s="5">
        <v>79.7</v>
      </c>
      <c r="F4" s="8">
        <v>29.58</v>
      </c>
      <c r="G4" s="5">
        <v>2946</v>
      </c>
      <c r="H4" s="5">
        <v>3757</v>
      </c>
      <c r="I4" s="5">
        <v>6703</v>
      </c>
      <c r="J4" s="5">
        <v>0.002860728</v>
      </c>
      <c r="K4" s="5">
        <v>79.8</v>
      </c>
    </row>
    <row r="5" ht="15.6" spans="1:11">
      <c r="A5" s="4" t="s">
        <v>13</v>
      </c>
      <c r="B5" s="5">
        <v>100</v>
      </c>
      <c r="C5" s="5">
        <v>83.3</v>
      </c>
      <c r="D5" s="5">
        <v>91</v>
      </c>
      <c r="E5" s="5">
        <v>72.5</v>
      </c>
      <c r="F5" s="8">
        <v>26.715</v>
      </c>
      <c r="G5" s="5">
        <v>2165</v>
      </c>
      <c r="H5" s="5">
        <v>3175</v>
      </c>
      <c r="I5" s="5">
        <v>5340</v>
      </c>
      <c r="J5" s="5">
        <v>0.002286504</v>
      </c>
      <c r="K5" s="5">
        <v>72.2</v>
      </c>
    </row>
    <row r="6" ht="15.6" spans="1:11">
      <c r="A6" s="4" t="s">
        <v>14</v>
      </c>
      <c r="B6" s="5">
        <v>100</v>
      </c>
      <c r="C6" s="5">
        <v>75</v>
      </c>
      <c r="D6" s="5">
        <v>98</v>
      </c>
      <c r="E6" s="5">
        <v>100</v>
      </c>
      <c r="F6" s="8">
        <v>6.882</v>
      </c>
      <c r="G6" s="5">
        <v>1187</v>
      </c>
      <c r="H6" s="5">
        <v>735</v>
      </c>
      <c r="I6" s="5">
        <v>1922</v>
      </c>
      <c r="J6" s="5">
        <v>0.000622832</v>
      </c>
      <c r="K6" s="5">
        <v>80.2</v>
      </c>
    </row>
    <row r="7" ht="15.6" spans="1:11">
      <c r="A7" s="4" t="s">
        <v>15</v>
      </c>
      <c r="B7" s="5">
        <v>91</v>
      </c>
      <c r="C7" s="5">
        <v>50</v>
      </c>
      <c r="D7" s="5">
        <v>91</v>
      </c>
      <c r="E7" s="5">
        <v>69.2</v>
      </c>
      <c r="F7" s="8">
        <v>26.971</v>
      </c>
      <c r="G7" s="5">
        <v>1956</v>
      </c>
      <c r="H7" s="5">
        <v>2514</v>
      </c>
      <c r="I7" s="5">
        <v>4470</v>
      </c>
      <c r="J7" s="5">
        <v>0.001815184</v>
      </c>
      <c r="K7" s="5">
        <v>79.8</v>
      </c>
    </row>
    <row r="8" ht="15.6" spans="1:11">
      <c r="A8" s="4" t="s">
        <v>16</v>
      </c>
      <c r="B8" s="5">
        <v>100</v>
      </c>
      <c r="C8" s="5">
        <v>100</v>
      </c>
      <c r="D8" s="5">
        <v>100</v>
      </c>
      <c r="E8" s="5">
        <v>95.7</v>
      </c>
      <c r="F8" s="8">
        <v>20.169</v>
      </c>
      <c r="G8" s="5">
        <v>2274</v>
      </c>
      <c r="H8" s="5">
        <v>2338</v>
      </c>
      <c r="I8" s="5">
        <v>4612</v>
      </c>
      <c r="J8" s="5">
        <v>0.001728264</v>
      </c>
      <c r="K8" s="5">
        <v>72</v>
      </c>
    </row>
    <row r="9" ht="15.6" spans="1:11">
      <c r="A9" s="4" t="s">
        <v>17</v>
      </c>
      <c r="B9" s="5">
        <v>100</v>
      </c>
      <c r="C9" s="5">
        <v>100</v>
      </c>
      <c r="D9" s="5">
        <v>100</v>
      </c>
      <c r="E9" s="5">
        <v>100</v>
      </c>
      <c r="F9" s="8">
        <v>10.868</v>
      </c>
      <c r="G9" s="5">
        <v>1534</v>
      </c>
      <c r="H9" s="5">
        <v>1190</v>
      </c>
      <c r="I9" s="5">
        <v>2724</v>
      </c>
      <c r="J9" s="5">
        <v>0.000871288</v>
      </c>
      <c r="K9" s="5">
        <v>72</v>
      </c>
    </row>
    <row r="10" ht="15.6" spans="1:11">
      <c r="A10" s="4" t="s">
        <v>18</v>
      </c>
      <c r="B10" s="5">
        <v>99</v>
      </c>
      <c r="C10" s="5">
        <v>70</v>
      </c>
      <c r="D10" s="5">
        <v>100</v>
      </c>
      <c r="E10" s="5">
        <v>58.8</v>
      </c>
      <c r="F10" s="8">
        <v>9.458</v>
      </c>
      <c r="G10" s="5">
        <v>1541</v>
      </c>
      <c r="H10" s="5">
        <v>1055</v>
      </c>
      <c r="I10" s="5">
        <v>2596</v>
      </c>
      <c r="J10" s="5">
        <v>0.000779904</v>
      </c>
      <c r="K10" s="5">
        <v>77</v>
      </c>
    </row>
    <row r="11" ht="15.6" spans="1:11">
      <c r="A11" s="4" t="s">
        <v>19</v>
      </c>
      <c r="B11" s="5">
        <v>70</v>
      </c>
      <c r="C11" s="5">
        <v>58.3</v>
      </c>
      <c r="D11" s="5">
        <v>94</v>
      </c>
      <c r="E11" s="5">
        <v>25</v>
      </c>
      <c r="F11" s="8">
        <v>16.78</v>
      </c>
      <c r="G11" s="5">
        <v>1475</v>
      </c>
      <c r="H11" s="5">
        <v>1792</v>
      </c>
      <c r="I11" s="5">
        <v>3267</v>
      </c>
      <c r="J11" s="5">
        <v>0.001274408</v>
      </c>
      <c r="K11" s="5">
        <v>87.6</v>
      </c>
    </row>
    <row r="12" ht="15.6" spans="1:11">
      <c r="A12" s="4" t="s">
        <v>20</v>
      </c>
      <c r="B12" s="5">
        <v>100</v>
      </c>
      <c r="C12" s="5">
        <v>100</v>
      </c>
      <c r="D12" s="5">
        <v>100</v>
      </c>
      <c r="E12" s="5">
        <v>89.7</v>
      </c>
      <c r="F12" s="8">
        <v>18.639</v>
      </c>
      <c r="G12" s="5">
        <v>2035</v>
      </c>
      <c r="H12" s="5">
        <v>2422</v>
      </c>
      <c r="I12" s="5">
        <v>4457</v>
      </c>
      <c r="J12" s="5">
        <v>0.001761048</v>
      </c>
      <c r="K12" s="5">
        <v>74.6</v>
      </c>
    </row>
    <row r="13" ht="15.6" spans="1:11">
      <c r="A13" s="4" t="s">
        <v>21</v>
      </c>
      <c r="B13" s="5">
        <v>100</v>
      </c>
      <c r="C13" s="5">
        <v>71.4</v>
      </c>
      <c r="D13" s="5">
        <v>94</v>
      </c>
      <c r="E13" s="5">
        <v>91.7</v>
      </c>
      <c r="F13" s="8">
        <v>7.181</v>
      </c>
      <c r="G13" s="5">
        <v>1301</v>
      </c>
      <c r="H13" s="5">
        <v>722</v>
      </c>
      <c r="I13" s="5">
        <v>2023</v>
      </c>
      <c r="J13" s="5">
        <v>0.000528504</v>
      </c>
      <c r="K13" s="5">
        <v>83.4</v>
      </c>
    </row>
    <row r="14" ht="15.6" spans="1:11">
      <c r="A14" s="4" t="s">
        <v>22</v>
      </c>
      <c r="B14" s="5">
        <v>99</v>
      </c>
      <c r="C14" s="5">
        <v>70.6</v>
      </c>
      <c r="D14" s="5">
        <v>69</v>
      </c>
      <c r="E14" s="5">
        <v>79</v>
      </c>
      <c r="F14" s="8">
        <v>21.488</v>
      </c>
      <c r="G14" s="5">
        <v>1573</v>
      </c>
      <c r="H14" s="5">
        <v>2139</v>
      </c>
      <c r="I14" s="5">
        <v>3712</v>
      </c>
      <c r="J14" s="5">
        <v>0.001519936</v>
      </c>
      <c r="K14" s="5">
        <v>82.8</v>
      </c>
    </row>
    <row r="15" ht="15.6" spans="1:11">
      <c r="A15" s="4" t="s">
        <v>23</v>
      </c>
      <c r="B15" s="5">
        <v>100</v>
      </c>
      <c r="C15" s="5">
        <v>88.2</v>
      </c>
      <c r="D15" s="5">
        <v>99</v>
      </c>
      <c r="E15" s="5">
        <v>83.3</v>
      </c>
      <c r="F15" s="8">
        <v>11.701</v>
      </c>
      <c r="G15" s="5">
        <v>1196</v>
      </c>
      <c r="H15" s="5">
        <v>1149</v>
      </c>
      <c r="I15" s="5">
        <v>2345</v>
      </c>
      <c r="J15" s="5">
        <v>0.000807944</v>
      </c>
      <c r="K15" s="5">
        <v>86.8</v>
      </c>
    </row>
    <row r="16" ht="15.6" spans="1:11">
      <c r="A16" s="4" t="s">
        <v>24</v>
      </c>
      <c r="B16" s="5">
        <v>100</v>
      </c>
      <c r="C16" s="5">
        <v>83.3</v>
      </c>
      <c r="D16" s="5">
        <v>46</v>
      </c>
      <c r="E16" s="5">
        <v>66</v>
      </c>
      <c r="F16" s="8">
        <v>10.903</v>
      </c>
      <c r="G16" s="5">
        <v>1498</v>
      </c>
      <c r="H16" s="5">
        <v>880</v>
      </c>
      <c r="I16" s="5">
        <v>2378</v>
      </c>
      <c r="J16" s="5">
        <v>0.000753776</v>
      </c>
      <c r="K16" s="5">
        <v>68</v>
      </c>
    </row>
    <row r="17" ht="15.6" spans="1:11">
      <c r="A17" s="4" t="s">
        <v>25</v>
      </c>
      <c r="B17" s="5">
        <v>100</v>
      </c>
      <c r="C17" s="5">
        <v>100</v>
      </c>
      <c r="D17" s="5">
        <v>100</v>
      </c>
      <c r="E17" s="5">
        <v>100</v>
      </c>
      <c r="F17" s="8">
        <v>7.069</v>
      </c>
      <c r="G17" s="5">
        <v>1077</v>
      </c>
      <c r="H17" s="5">
        <v>622</v>
      </c>
      <c r="I17" s="5">
        <v>1699</v>
      </c>
      <c r="J17" s="5">
        <v>0.000436792</v>
      </c>
      <c r="K17" s="5">
        <v>84</v>
      </c>
    </row>
    <row r="18" ht="15.6" spans="1:11">
      <c r="A18" s="4" t="s">
        <v>26</v>
      </c>
      <c r="B18" s="5">
        <v>100</v>
      </c>
      <c r="C18" s="5">
        <v>100</v>
      </c>
      <c r="D18" s="5">
        <v>100</v>
      </c>
      <c r="E18" s="5">
        <v>100</v>
      </c>
      <c r="F18" s="8">
        <v>6.405</v>
      </c>
      <c r="G18" s="5">
        <v>1069</v>
      </c>
      <c r="H18" s="5">
        <v>843</v>
      </c>
      <c r="I18" s="5">
        <v>1912</v>
      </c>
      <c r="J18" s="5">
        <v>0.000586136</v>
      </c>
      <c r="K18" s="5">
        <v>82.2</v>
      </c>
    </row>
    <row r="19" ht="15.6" spans="1:11">
      <c r="A19" s="4" t="s">
        <v>27</v>
      </c>
      <c r="B19" s="5">
        <v>97</v>
      </c>
      <c r="C19" s="5">
        <v>65.5</v>
      </c>
      <c r="D19" s="5">
        <v>86</v>
      </c>
      <c r="E19" s="5">
        <v>100</v>
      </c>
      <c r="F19" s="8">
        <v>28.138</v>
      </c>
      <c r="G19" s="5">
        <v>1509</v>
      </c>
      <c r="H19" s="5">
        <v>2285</v>
      </c>
      <c r="I19" s="5">
        <v>3794</v>
      </c>
      <c r="J19" s="5">
        <v>0.001612976</v>
      </c>
      <c r="K19" s="5">
        <v>92.8</v>
      </c>
    </row>
    <row r="20" ht="15.6" spans="1:11">
      <c r="A20" s="4" t="s">
        <v>28</v>
      </c>
      <c r="B20" s="5">
        <v>100</v>
      </c>
      <c r="C20" s="5">
        <v>93.9</v>
      </c>
      <c r="D20" s="5">
        <v>90</v>
      </c>
      <c r="E20" s="5">
        <v>67.7</v>
      </c>
      <c r="F20" s="8">
        <v>8.335</v>
      </c>
      <c r="G20" s="5">
        <v>1188</v>
      </c>
      <c r="H20" s="5">
        <v>844</v>
      </c>
      <c r="I20" s="5">
        <v>2032</v>
      </c>
      <c r="J20" s="5">
        <v>0.000599296</v>
      </c>
      <c r="K20" s="5">
        <v>93.8</v>
      </c>
    </row>
    <row r="21" ht="15.6" spans="1:11">
      <c r="A21" s="4" t="s">
        <v>29</v>
      </c>
      <c r="B21" s="5">
        <v>100</v>
      </c>
      <c r="C21" s="5">
        <v>90.7</v>
      </c>
      <c r="D21" s="5">
        <v>100</v>
      </c>
      <c r="E21" s="5">
        <v>93.5</v>
      </c>
      <c r="F21" s="8">
        <v>15.171</v>
      </c>
      <c r="G21" s="5">
        <v>1234</v>
      </c>
      <c r="H21" s="5">
        <v>1702</v>
      </c>
      <c r="I21" s="5">
        <v>2936</v>
      </c>
      <c r="J21" s="5">
        <v>0.001188248</v>
      </c>
      <c r="K21" s="5">
        <v>90.8</v>
      </c>
    </row>
    <row r="22" ht="15.6" spans="1:11">
      <c r="A22" s="4" t="s">
        <v>30</v>
      </c>
      <c r="B22" s="5">
        <v>99</v>
      </c>
      <c r="C22" s="5">
        <v>83.3</v>
      </c>
      <c r="D22" s="5">
        <v>96</v>
      </c>
      <c r="E22" s="5">
        <v>75</v>
      </c>
      <c r="F22" s="8">
        <v>4.604</v>
      </c>
      <c r="G22" s="5">
        <v>1052</v>
      </c>
      <c r="H22" s="5">
        <v>444</v>
      </c>
      <c r="I22" s="5">
        <v>1496</v>
      </c>
      <c r="J22" s="5">
        <v>0.00031388</v>
      </c>
      <c r="K22" s="5">
        <v>90.8</v>
      </c>
    </row>
    <row r="23" ht="15.6" spans="2:11">
      <c r="B23" s="9">
        <f t="shared" ref="B23:J23" si="0">AVERAGE(B3:B22)</f>
        <v>97.45</v>
      </c>
      <c r="C23" s="9">
        <f t="shared" si="0"/>
        <v>82.315</v>
      </c>
      <c r="D23" s="9">
        <f t="shared" si="0"/>
        <v>92.15</v>
      </c>
      <c r="E23" s="9">
        <f t="shared" si="0"/>
        <v>82.34</v>
      </c>
      <c r="F23" s="14">
        <f t="shared" si="0"/>
        <v>14.76365</v>
      </c>
      <c r="G23" s="4">
        <f t="shared" si="0"/>
        <v>1553.8</v>
      </c>
      <c r="H23" s="9">
        <f t="shared" si="0"/>
        <v>1572.7</v>
      </c>
      <c r="I23" s="9">
        <f t="shared" si="0"/>
        <v>3126.5</v>
      </c>
      <c r="J23" s="9">
        <f t="shared" si="0"/>
        <v>0.0011527088</v>
      </c>
      <c r="K23" s="9">
        <f>AVERAGE(K3:K22)</f>
        <v>81.86</v>
      </c>
    </row>
  </sheetData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zoomScale="85" zoomScaleNormal="85" workbookViewId="0">
      <selection activeCell="K24" sqref="K24"/>
    </sheetView>
  </sheetViews>
  <sheetFormatPr defaultColWidth="8.88888888888889" defaultRowHeight="15"/>
  <cols>
    <col min="1" max="1" width="12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8.88888888888889" style="2"/>
  </cols>
  <sheetData>
    <row r="1" ht="15.6" spans="1:11">
      <c r="A1" s="4" t="s">
        <v>33</v>
      </c>
      <c r="B1" s="3"/>
      <c r="C1" s="3"/>
      <c r="D1" s="3"/>
      <c r="E1" s="3"/>
      <c r="F1" s="12"/>
      <c r="G1" s="3"/>
      <c r="H1" s="3"/>
      <c r="I1" s="3"/>
      <c r="J1" s="3"/>
      <c r="K1" s="3"/>
    </row>
    <row r="2" ht="15.6" spans="1:11">
      <c r="A2" s="3"/>
      <c r="B2" s="4" t="s">
        <v>1</v>
      </c>
      <c r="C2" s="4" t="s">
        <v>2</v>
      </c>
      <c r="D2" s="4" t="s">
        <v>3</v>
      </c>
      <c r="E2" s="4" t="s">
        <v>4</v>
      </c>
      <c r="F2" s="13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5.6" spans="1:11">
      <c r="A3" s="4" t="s">
        <v>11</v>
      </c>
      <c r="B3" s="5">
        <v>100</v>
      </c>
      <c r="C3" s="5">
        <v>100</v>
      </c>
      <c r="D3" s="5">
        <v>100</v>
      </c>
      <c r="E3" s="5">
        <v>100</v>
      </c>
      <c r="F3" s="8">
        <v>24.968</v>
      </c>
      <c r="G3" s="5">
        <v>1274</v>
      </c>
      <c r="H3" s="5">
        <v>1489</v>
      </c>
      <c r="I3" s="5">
        <v>2763</v>
      </c>
      <c r="J3" s="5">
        <v>0.0032965</v>
      </c>
      <c r="K3" s="5">
        <v>84.4</v>
      </c>
    </row>
    <row r="4" ht="15.6" spans="1:11">
      <c r="A4" s="4" t="s">
        <v>12</v>
      </c>
      <c r="B4" s="5">
        <v>100</v>
      </c>
      <c r="C4" s="5">
        <v>75</v>
      </c>
      <c r="D4" s="5">
        <v>96</v>
      </c>
      <c r="E4" s="5">
        <v>60.9</v>
      </c>
      <c r="F4" s="8">
        <v>76.095</v>
      </c>
      <c r="G4" s="5">
        <v>3053</v>
      </c>
      <c r="H4" s="5">
        <v>4183</v>
      </c>
      <c r="I4" s="5">
        <v>7236</v>
      </c>
      <c r="J4" s="5">
        <v>0.00912925</v>
      </c>
      <c r="K4" s="5">
        <v>85.4</v>
      </c>
    </row>
    <row r="5" ht="15.6" spans="1:11">
      <c r="A5" s="4" t="s">
        <v>13</v>
      </c>
      <c r="B5" s="5">
        <v>100</v>
      </c>
      <c r="C5" s="5">
        <v>94.4</v>
      </c>
      <c r="D5" s="5">
        <v>99</v>
      </c>
      <c r="E5" s="5">
        <v>80</v>
      </c>
      <c r="F5" s="8">
        <v>88.627</v>
      </c>
      <c r="G5" s="5">
        <v>2283</v>
      </c>
      <c r="H5" s="5">
        <v>5995</v>
      </c>
      <c r="I5" s="5">
        <v>8278</v>
      </c>
      <c r="J5" s="5">
        <v>0.01256075</v>
      </c>
      <c r="K5" s="5">
        <v>85</v>
      </c>
    </row>
    <row r="6" ht="15.6" spans="1:11">
      <c r="A6" s="4" t="s">
        <v>14</v>
      </c>
      <c r="B6" s="5">
        <v>100</v>
      </c>
      <c r="C6" s="5">
        <v>100</v>
      </c>
      <c r="D6" s="5">
        <v>100</v>
      </c>
      <c r="E6" s="5">
        <v>100</v>
      </c>
      <c r="F6" s="8">
        <v>20.828</v>
      </c>
      <c r="G6" s="5">
        <v>1198</v>
      </c>
      <c r="H6" s="5">
        <v>1657</v>
      </c>
      <c r="I6" s="5">
        <v>2855</v>
      </c>
      <c r="J6" s="5">
        <v>0.0036135</v>
      </c>
      <c r="K6" s="5">
        <v>88</v>
      </c>
    </row>
    <row r="7" ht="15.6" spans="1:11">
      <c r="A7" s="4" t="s">
        <v>15</v>
      </c>
      <c r="B7" s="5">
        <v>99</v>
      </c>
      <c r="C7" s="5">
        <v>92.3</v>
      </c>
      <c r="D7" s="5">
        <v>100</v>
      </c>
      <c r="E7" s="5">
        <v>94.9</v>
      </c>
      <c r="F7" s="8">
        <v>44.25</v>
      </c>
      <c r="G7" s="5">
        <v>1988</v>
      </c>
      <c r="H7" s="5">
        <v>3157</v>
      </c>
      <c r="I7" s="5">
        <v>5145</v>
      </c>
      <c r="J7" s="5">
        <v>0.006811</v>
      </c>
      <c r="K7" s="5">
        <v>87.2</v>
      </c>
    </row>
    <row r="8" ht="15.6" spans="1:11">
      <c r="A8" s="4" t="s">
        <v>16</v>
      </c>
      <c r="B8" s="5">
        <v>99</v>
      </c>
      <c r="C8" s="5">
        <v>100</v>
      </c>
      <c r="D8" s="5">
        <v>99</v>
      </c>
      <c r="E8" s="5">
        <v>100</v>
      </c>
      <c r="F8" s="8">
        <v>66.562</v>
      </c>
      <c r="G8" s="5">
        <v>2304</v>
      </c>
      <c r="H8" s="5">
        <v>4319</v>
      </c>
      <c r="I8" s="5">
        <v>6623</v>
      </c>
      <c r="J8" s="5">
        <v>0.009214</v>
      </c>
      <c r="K8" s="5">
        <v>78.2</v>
      </c>
    </row>
    <row r="9" ht="15.6" spans="1:11">
      <c r="A9" s="4" t="s">
        <v>17</v>
      </c>
      <c r="B9" s="5">
        <v>100</v>
      </c>
      <c r="C9" s="5">
        <v>100</v>
      </c>
      <c r="D9" s="5">
        <v>100</v>
      </c>
      <c r="E9" s="5">
        <v>90.9</v>
      </c>
      <c r="F9" s="8">
        <v>39.412</v>
      </c>
      <c r="G9" s="5">
        <v>1544</v>
      </c>
      <c r="H9" s="5">
        <v>2542</v>
      </c>
      <c r="I9" s="5">
        <v>4086</v>
      </c>
      <c r="J9" s="5">
        <v>0.00547</v>
      </c>
      <c r="K9" s="5">
        <v>85.4</v>
      </c>
    </row>
    <row r="10" ht="15.6" spans="1:11">
      <c r="A10" s="4" t="s">
        <v>18</v>
      </c>
      <c r="B10" s="5">
        <v>100</v>
      </c>
      <c r="C10" s="5">
        <v>100</v>
      </c>
      <c r="D10" s="5">
        <v>99</v>
      </c>
      <c r="E10" s="5">
        <v>82.4</v>
      </c>
      <c r="F10" s="8">
        <v>42.759</v>
      </c>
      <c r="G10" s="5">
        <v>1557</v>
      </c>
      <c r="H10" s="5">
        <v>3169</v>
      </c>
      <c r="I10" s="5">
        <v>4726</v>
      </c>
      <c r="J10" s="5">
        <v>0.00672725</v>
      </c>
      <c r="K10" s="5">
        <v>83.8</v>
      </c>
    </row>
    <row r="11" ht="15.6" spans="1:11">
      <c r="A11" s="4" t="s">
        <v>19</v>
      </c>
      <c r="B11" s="5">
        <v>100</v>
      </c>
      <c r="C11" s="5">
        <v>37.5</v>
      </c>
      <c r="D11" s="5">
        <v>95</v>
      </c>
      <c r="E11" s="5">
        <v>25</v>
      </c>
      <c r="F11" s="8">
        <v>48.783</v>
      </c>
      <c r="G11" s="5">
        <v>1480</v>
      </c>
      <c r="H11" s="5">
        <v>3346</v>
      </c>
      <c r="I11" s="5">
        <v>4826</v>
      </c>
      <c r="J11" s="5">
        <v>0.007062</v>
      </c>
      <c r="K11" s="5">
        <v>78.4</v>
      </c>
    </row>
    <row r="12" ht="15.6" spans="1:11">
      <c r="A12" s="4" t="s">
        <v>20</v>
      </c>
      <c r="B12" s="5">
        <v>100</v>
      </c>
      <c r="C12" s="5">
        <v>100</v>
      </c>
      <c r="D12" s="5">
        <v>100</v>
      </c>
      <c r="E12" s="5">
        <v>96.6</v>
      </c>
      <c r="F12" s="8">
        <v>51.906</v>
      </c>
      <c r="G12" s="5">
        <v>2037</v>
      </c>
      <c r="H12" s="5">
        <v>3597</v>
      </c>
      <c r="I12" s="5">
        <v>5634</v>
      </c>
      <c r="J12" s="5">
        <v>0.00770325</v>
      </c>
      <c r="K12" s="5">
        <v>87.8</v>
      </c>
    </row>
    <row r="13" ht="15.6" spans="1:11">
      <c r="A13" s="4" t="s">
        <v>21</v>
      </c>
      <c r="B13" s="5">
        <v>100</v>
      </c>
      <c r="C13" s="5">
        <v>83.3</v>
      </c>
      <c r="D13" s="5">
        <v>98</v>
      </c>
      <c r="E13" s="5">
        <v>91.7</v>
      </c>
      <c r="F13" s="8">
        <v>25.175</v>
      </c>
      <c r="G13" s="5">
        <v>1311</v>
      </c>
      <c r="H13" s="5">
        <v>2055</v>
      </c>
      <c r="I13" s="5">
        <v>3366</v>
      </c>
      <c r="J13" s="5">
        <v>0.00443775</v>
      </c>
      <c r="K13" s="5">
        <v>80.6</v>
      </c>
    </row>
    <row r="14" ht="15.6" spans="1:11">
      <c r="A14" s="4" t="s">
        <v>22</v>
      </c>
      <c r="B14" s="5">
        <v>100</v>
      </c>
      <c r="C14" s="5">
        <v>100</v>
      </c>
      <c r="D14" s="5">
        <v>100</v>
      </c>
      <c r="E14" s="5">
        <v>95.2</v>
      </c>
      <c r="F14" s="8">
        <v>29.231</v>
      </c>
      <c r="G14" s="5">
        <v>1589</v>
      </c>
      <c r="H14" s="5">
        <v>2446</v>
      </c>
      <c r="I14" s="5">
        <v>4035</v>
      </c>
      <c r="J14" s="5">
        <v>0.00528925</v>
      </c>
      <c r="K14" s="5">
        <v>84</v>
      </c>
    </row>
    <row r="15" ht="15.6" spans="1:11">
      <c r="A15" s="4" t="s">
        <v>23</v>
      </c>
      <c r="B15" s="5">
        <v>100</v>
      </c>
      <c r="C15" s="5">
        <v>100</v>
      </c>
      <c r="D15" s="5">
        <v>100</v>
      </c>
      <c r="E15" s="5">
        <v>83.3</v>
      </c>
      <c r="F15" s="8">
        <v>24.423</v>
      </c>
      <c r="G15" s="5">
        <v>1214</v>
      </c>
      <c r="H15" s="5">
        <v>2245</v>
      </c>
      <c r="I15" s="5">
        <v>3459</v>
      </c>
      <c r="J15" s="5">
        <v>0.0047935</v>
      </c>
      <c r="K15" s="5">
        <v>91.8</v>
      </c>
    </row>
    <row r="16" ht="15.6" spans="1:11">
      <c r="A16" s="4" t="s">
        <v>24</v>
      </c>
      <c r="B16" s="5">
        <v>100</v>
      </c>
      <c r="C16" s="5">
        <v>100</v>
      </c>
      <c r="D16" s="5">
        <v>100</v>
      </c>
      <c r="E16" s="5">
        <v>87.5</v>
      </c>
      <c r="F16" s="8">
        <v>22.627</v>
      </c>
      <c r="G16" s="5">
        <v>1509</v>
      </c>
      <c r="H16" s="5">
        <v>2375</v>
      </c>
      <c r="I16" s="5">
        <v>3884</v>
      </c>
      <c r="J16" s="5">
        <v>0.00512725</v>
      </c>
      <c r="K16" s="5">
        <v>80.4</v>
      </c>
    </row>
    <row r="17" ht="15.6" spans="1:11">
      <c r="A17" s="4" t="s">
        <v>25</v>
      </c>
      <c r="B17" s="5">
        <v>100</v>
      </c>
      <c r="C17" s="5">
        <v>100</v>
      </c>
      <c r="D17" s="5">
        <v>100</v>
      </c>
      <c r="E17" s="5">
        <v>100</v>
      </c>
      <c r="F17" s="8">
        <v>26.069</v>
      </c>
      <c r="G17" s="5">
        <v>1094</v>
      </c>
      <c r="H17" s="5">
        <v>1596</v>
      </c>
      <c r="I17" s="5">
        <v>2690</v>
      </c>
      <c r="J17" s="5">
        <v>0.0034655</v>
      </c>
      <c r="K17" s="5">
        <v>90.4</v>
      </c>
    </row>
    <row r="18" ht="15.6" spans="1:11">
      <c r="A18" s="4" t="s">
        <v>26</v>
      </c>
      <c r="B18" s="5">
        <v>100</v>
      </c>
      <c r="C18" s="5">
        <v>90.9</v>
      </c>
      <c r="D18" s="5">
        <v>98</v>
      </c>
      <c r="E18" s="5">
        <v>100</v>
      </c>
      <c r="F18" s="8">
        <v>27.453</v>
      </c>
      <c r="G18" s="5">
        <v>1087</v>
      </c>
      <c r="H18" s="5">
        <v>2092</v>
      </c>
      <c r="I18" s="5">
        <v>3179</v>
      </c>
      <c r="J18" s="5">
        <v>0.00445575</v>
      </c>
      <c r="K18" s="5">
        <v>90</v>
      </c>
    </row>
    <row r="19" ht="15.6" spans="1:11">
      <c r="A19" s="4" t="s">
        <v>27</v>
      </c>
      <c r="B19" s="5">
        <v>100</v>
      </c>
      <c r="C19" s="5">
        <v>100</v>
      </c>
      <c r="D19" s="5">
        <v>100</v>
      </c>
      <c r="E19" s="5">
        <v>94.9</v>
      </c>
      <c r="F19" s="8">
        <v>30.975</v>
      </c>
      <c r="G19" s="5">
        <v>1519</v>
      </c>
      <c r="H19" s="5">
        <v>2728</v>
      </c>
      <c r="I19" s="5">
        <v>4247</v>
      </c>
      <c r="J19" s="5">
        <v>0.00583575</v>
      </c>
      <c r="K19" s="5">
        <v>89.8</v>
      </c>
    </row>
    <row r="20" ht="15.6" spans="1:11">
      <c r="A20" s="4" t="s">
        <v>28</v>
      </c>
      <c r="B20" s="5">
        <v>100</v>
      </c>
      <c r="C20" s="5">
        <v>100</v>
      </c>
      <c r="D20" s="5">
        <v>100</v>
      </c>
      <c r="E20" s="5">
        <v>80.7</v>
      </c>
      <c r="F20" s="8">
        <v>22.519</v>
      </c>
      <c r="G20" s="5">
        <v>1201</v>
      </c>
      <c r="H20" s="5">
        <v>1766</v>
      </c>
      <c r="I20" s="5">
        <v>2967</v>
      </c>
      <c r="J20" s="5">
        <v>0.00383225</v>
      </c>
      <c r="K20" s="5">
        <v>89</v>
      </c>
    </row>
    <row r="21" ht="15.6" spans="1:11">
      <c r="A21" s="4" t="s">
        <v>29</v>
      </c>
      <c r="B21" s="5">
        <v>99</v>
      </c>
      <c r="C21" s="5">
        <v>100</v>
      </c>
      <c r="D21" s="5">
        <v>100</v>
      </c>
      <c r="E21" s="5">
        <v>100</v>
      </c>
      <c r="F21" s="8">
        <v>57.532</v>
      </c>
      <c r="G21" s="5">
        <v>1266</v>
      </c>
      <c r="H21" s="5">
        <v>4506</v>
      </c>
      <c r="I21" s="5">
        <v>5772</v>
      </c>
      <c r="J21" s="5">
        <v>0.0093285</v>
      </c>
      <c r="K21" s="5">
        <v>91.4</v>
      </c>
    </row>
    <row r="22" ht="15.6" spans="1:11">
      <c r="A22" s="4" t="s">
        <v>30</v>
      </c>
      <c r="B22" s="5">
        <v>100</v>
      </c>
      <c r="C22" s="5">
        <v>100</v>
      </c>
      <c r="D22" s="5">
        <v>100</v>
      </c>
      <c r="E22" s="5">
        <v>87.5</v>
      </c>
      <c r="F22" s="8">
        <v>26.6</v>
      </c>
      <c r="G22" s="5">
        <v>1060</v>
      </c>
      <c r="H22" s="5">
        <v>2130</v>
      </c>
      <c r="I22" s="5">
        <v>3190</v>
      </c>
      <c r="J22" s="5">
        <v>0.004525</v>
      </c>
      <c r="K22" s="5">
        <v>85.8</v>
      </c>
    </row>
    <row r="23" ht="15.6" spans="2:11">
      <c r="B23" s="9">
        <f t="shared" ref="B23:J23" si="0">AVERAGE(B3:B22)</f>
        <v>99.85</v>
      </c>
      <c r="C23" s="9">
        <f t="shared" si="0"/>
        <v>93.67</v>
      </c>
      <c r="D23" s="9">
        <f t="shared" si="0"/>
        <v>99.2</v>
      </c>
      <c r="E23" s="9">
        <f t="shared" si="0"/>
        <v>87.575</v>
      </c>
      <c r="F23" s="14">
        <f t="shared" si="0"/>
        <v>39.8397</v>
      </c>
      <c r="G23" s="4">
        <f t="shared" si="0"/>
        <v>1578.4</v>
      </c>
      <c r="H23" s="9">
        <f t="shared" si="0"/>
        <v>2869.65</v>
      </c>
      <c r="I23" s="9">
        <f t="shared" si="0"/>
        <v>4448.05</v>
      </c>
      <c r="J23" s="9">
        <f t="shared" si="0"/>
        <v>0.0061339</v>
      </c>
      <c r="K23" s="9">
        <f>AVERAGE(K3:K22)</f>
        <v>85.84</v>
      </c>
    </row>
  </sheetData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zoomScale="85" zoomScaleNormal="85" workbookViewId="0">
      <selection activeCell="K24" sqref="K24"/>
    </sheetView>
  </sheetViews>
  <sheetFormatPr defaultColWidth="8.88888888888889" defaultRowHeight="15"/>
  <cols>
    <col min="1" max="1" width="12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8.88888888888889" style="2"/>
  </cols>
  <sheetData>
    <row r="1" ht="15.6" spans="1:11">
      <c r="A1" s="6" t="s">
        <v>34</v>
      </c>
      <c r="B1" s="7"/>
      <c r="C1" s="7"/>
      <c r="D1" s="7"/>
      <c r="E1" s="7"/>
      <c r="F1" s="7"/>
      <c r="G1" s="7"/>
      <c r="H1" s="7"/>
      <c r="I1" s="7"/>
      <c r="J1" s="7"/>
      <c r="K1" s="10"/>
    </row>
    <row r="2" ht="15.6" spans="1:11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ht="15.6" spans="1:11">
      <c r="A3" s="4" t="s">
        <v>11</v>
      </c>
      <c r="B3" s="5">
        <v>100</v>
      </c>
      <c r="C3" s="5">
        <v>100</v>
      </c>
      <c r="D3" s="5">
        <v>100</v>
      </c>
      <c r="E3" s="5">
        <v>100</v>
      </c>
      <c r="F3" s="8">
        <v>3.223</v>
      </c>
      <c r="G3" s="5">
        <v>1267</v>
      </c>
      <c r="H3" s="5">
        <v>397</v>
      </c>
      <c r="I3" s="5">
        <v>1664</v>
      </c>
      <c r="J3" s="5">
        <v>0.0002458</v>
      </c>
      <c r="K3" s="5">
        <v>88</v>
      </c>
    </row>
    <row r="4" ht="15.6" spans="1:11">
      <c r="A4" s="4" t="s">
        <v>12</v>
      </c>
      <c r="B4" s="5">
        <v>100</v>
      </c>
      <c r="C4" s="5">
        <v>94.7</v>
      </c>
      <c r="D4" s="5">
        <v>99</v>
      </c>
      <c r="E4" s="5">
        <v>65.2</v>
      </c>
      <c r="F4" s="8">
        <v>26.931</v>
      </c>
      <c r="G4" s="5">
        <v>2961</v>
      </c>
      <c r="H4" s="5">
        <v>3923</v>
      </c>
      <c r="I4" s="5">
        <v>6884</v>
      </c>
      <c r="J4" s="5">
        <v>0.001473</v>
      </c>
      <c r="K4" s="5">
        <v>68.2</v>
      </c>
    </row>
    <row r="5" ht="15.6" spans="1:11">
      <c r="A5" s="4" t="s">
        <v>13</v>
      </c>
      <c r="B5" s="5">
        <v>100</v>
      </c>
      <c r="C5" s="5">
        <v>100</v>
      </c>
      <c r="D5" s="5">
        <v>100</v>
      </c>
      <c r="E5" s="5">
        <v>52.5</v>
      </c>
      <c r="F5" s="8">
        <v>11.454</v>
      </c>
      <c r="G5" s="5">
        <v>2166</v>
      </c>
      <c r="H5" s="5">
        <v>1675</v>
      </c>
      <c r="I5" s="5">
        <v>3841</v>
      </c>
      <c r="J5" s="5">
        <v>0.0007191</v>
      </c>
      <c r="K5" s="5">
        <v>85</v>
      </c>
    </row>
    <row r="6" ht="15.6" spans="1:11">
      <c r="A6" s="4" t="s">
        <v>14</v>
      </c>
      <c r="B6" s="5">
        <v>99</v>
      </c>
      <c r="C6" s="5">
        <v>100</v>
      </c>
      <c r="D6" s="5">
        <v>100</v>
      </c>
      <c r="E6" s="5">
        <v>100</v>
      </c>
      <c r="F6" s="8">
        <v>3.098</v>
      </c>
      <c r="G6" s="5">
        <v>1188</v>
      </c>
      <c r="H6" s="5">
        <v>443</v>
      </c>
      <c r="I6" s="5">
        <v>1631</v>
      </c>
      <c r="J6" s="5">
        <v>0.0002517</v>
      </c>
      <c r="K6" s="5">
        <v>84.2</v>
      </c>
    </row>
    <row r="7" ht="15.6" spans="1:11">
      <c r="A7" s="4" t="s">
        <v>15</v>
      </c>
      <c r="B7" s="5">
        <v>100</v>
      </c>
      <c r="C7" s="5">
        <v>90</v>
      </c>
      <c r="D7" s="5">
        <v>95</v>
      </c>
      <c r="E7" s="5">
        <v>71.8</v>
      </c>
      <c r="F7" s="8">
        <v>9.157</v>
      </c>
      <c r="G7" s="5">
        <v>1959</v>
      </c>
      <c r="H7" s="5">
        <v>1330</v>
      </c>
      <c r="I7" s="5">
        <v>3289</v>
      </c>
      <c r="J7" s="5">
        <v>0.0005949</v>
      </c>
      <c r="K7" s="5">
        <v>83.6</v>
      </c>
    </row>
    <row r="8" ht="15.6" spans="1:11">
      <c r="A8" s="4" t="s">
        <v>16</v>
      </c>
      <c r="B8" s="5">
        <v>100</v>
      </c>
      <c r="C8" s="5">
        <v>100</v>
      </c>
      <c r="D8" s="5">
        <v>100</v>
      </c>
      <c r="E8" s="5">
        <v>95.7</v>
      </c>
      <c r="F8" s="8">
        <v>15.78</v>
      </c>
      <c r="G8" s="5">
        <v>2275</v>
      </c>
      <c r="H8" s="5">
        <v>2294</v>
      </c>
      <c r="I8" s="5">
        <v>4569</v>
      </c>
      <c r="J8" s="5">
        <v>0.0009157</v>
      </c>
      <c r="K8" s="5">
        <v>81.6</v>
      </c>
    </row>
    <row r="9" ht="15.6" spans="1:11">
      <c r="A9" s="4" t="s">
        <v>17</v>
      </c>
      <c r="B9" s="5">
        <v>100</v>
      </c>
      <c r="C9" s="5">
        <v>83.3</v>
      </c>
      <c r="D9" s="5">
        <v>100</v>
      </c>
      <c r="E9" s="5">
        <v>100</v>
      </c>
      <c r="F9" s="8">
        <v>5.989</v>
      </c>
      <c r="G9" s="5">
        <v>1540</v>
      </c>
      <c r="H9" s="5">
        <v>869</v>
      </c>
      <c r="I9" s="5">
        <v>2409</v>
      </c>
      <c r="J9" s="5">
        <v>0.0004147</v>
      </c>
      <c r="K9" s="5">
        <v>87</v>
      </c>
    </row>
    <row r="10" ht="15.6" spans="1:11">
      <c r="A10" s="4" t="s">
        <v>18</v>
      </c>
      <c r="B10" s="5">
        <v>100</v>
      </c>
      <c r="C10" s="5">
        <v>75</v>
      </c>
      <c r="D10" s="5">
        <v>94</v>
      </c>
      <c r="E10" s="5">
        <v>15.7</v>
      </c>
      <c r="F10" s="8">
        <v>3.378</v>
      </c>
      <c r="G10" s="5">
        <v>1542</v>
      </c>
      <c r="H10" s="5">
        <v>449</v>
      </c>
      <c r="I10" s="5">
        <v>1991</v>
      </c>
      <c r="J10" s="5">
        <v>0.0002889</v>
      </c>
      <c r="K10" s="5">
        <v>87.6</v>
      </c>
    </row>
    <row r="11" ht="15.6" spans="1:11">
      <c r="A11" s="4" t="s">
        <v>19</v>
      </c>
      <c r="B11" s="5">
        <v>100</v>
      </c>
      <c r="C11" s="5">
        <v>20</v>
      </c>
      <c r="D11" s="5">
        <v>91</v>
      </c>
      <c r="E11" s="5">
        <v>19.1</v>
      </c>
      <c r="F11" s="8">
        <v>7.419</v>
      </c>
      <c r="G11" s="5">
        <v>1476</v>
      </c>
      <c r="H11" s="5">
        <v>1075</v>
      </c>
      <c r="I11" s="5">
        <v>2551</v>
      </c>
      <c r="J11" s="5">
        <v>0.0004701</v>
      </c>
      <c r="K11" s="5">
        <v>81.6</v>
      </c>
    </row>
    <row r="12" ht="15.6" spans="1:11">
      <c r="A12" s="4" t="s">
        <v>20</v>
      </c>
      <c r="B12" s="5">
        <v>100</v>
      </c>
      <c r="C12" s="5">
        <v>100</v>
      </c>
      <c r="D12" s="5">
        <v>100</v>
      </c>
      <c r="E12" s="5">
        <v>77.6</v>
      </c>
      <c r="F12" s="8">
        <v>15.815</v>
      </c>
      <c r="G12" s="5">
        <v>2037</v>
      </c>
      <c r="H12" s="5">
        <v>2323</v>
      </c>
      <c r="I12" s="5">
        <v>4360</v>
      </c>
      <c r="J12" s="5">
        <v>0.0009006</v>
      </c>
      <c r="K12" s="5">
        <v>87.2</v>
      </c>
    </row>
    <row r="13" ht="15.6" spans="1:11">
      <c r="A13" s="4" t="s">
        <v>21</v>
      </c>
      <c r="B13" s="5">
        <v>100</v>
      </c>
      <c r="C13" s="5">
        <v>40</v>
      </c>
      <c r="D13" s="5">
        <v>92</v>
      </c>
      <c r="E13" s="5">
        <v>77.8</v>
      </c>
      <c r="F13" s="8">
        <v>3.344</v>
      </c>
      <c r="G13" s="5">
        <v>1303</v>
      </c>
      <c r="H13" s="5">
        <v>469</v>
      </c>
      <c r="I13" s="5">
        <v>1772</v>
      </c>
      <c r="J13" s="5">
        <v>0.000271</v>
      </c>
      <c r="K13" s="5">
        <v>84.4</v>
      </c>
    </row>
    <row r="14" ht="15.6" spans="1:11">
      <c r="A14" s="4" t="s">
        <v>22</v>
      </c>
      <c r="B14" s="5">
        <v>100</v>
      </c>
      <c r="C14" s="5">
        <v>83.3</v>
      </c>
      <c r="D14" s="5">
        <v>89</v>
      </c>
      <c r="E14" s="5">
        <v>54.8</v>
      </c>
      <c r="F14" s="8">
        <v>5.189</v>
      </c>
      <c r="G14" s="5">
        <v>1579</v>
      </c>
      <c r="H14" s="5">
        <v>748</v>
      </c>
      <c r="I14" s="5">
        <v>2327</v>
      </c>
      <c r="J14" s="5">
        <v>0.0003823</v>
      </c>
      <c r="K14" s="5">
        <v>79.6</v>
      </c>
    </row>
    <row r="15" ht="15.6" spans="1:11">
      <c r="A15" s="4" t="s">
        <v>23</v>
      </c>
      <c r="B15" s="5">
        <v>100</v>
      </c>
      <c r="C15" s="5">
        <v>76.9</v>
      </c>
      <c r="D15" s="5">
        <v>96</v>
      </c>
      <c r="E15" s="5">
        <v>83.3</v>
      </c>
      <c r="F15" s="8">
        <v>6.784</v>
      </c>
      <c r="G15" s="5">
        <v>1198</v>
      </c>
      <c r="H15" s="5">
        <v>964</v>
      </c>
      <c r="I15" s="5">
        <v>2162</v>
      </c>
      <c r="J15" s="5">
        <v>0.000409</v>
      </c>
      <c r="K15" s="5">
        <v>84.8</v>
      </c>
    </row>
    <row r="16" ht="15.6" spans="1:11">
      <c r="A16" s="4" t="s">
        <v>24</v>
      </c>
      <c r="B16" s="5">
        <v>100</v>
      </c>
      <c r="C16" s="5">
        <v>66.7</v>
      </c>
      <c r="D16" s="5">
        <v>85</v>
      </c>
      <c r="E16" s="5">
        <v>10.7</v>
      </c>
      <c r="F16" s="8">
        <v>3.991</v>
      </c>
      <c r="G16" s="5">
        <v>1500</v>
      </c>
      <c r="H16" s="5">
        <v>558</v>
      </c>
      <c r="I16" s="5">
        <v>2058</v>
      </c>
      <c r="J16" s="5">
        <v>0.0003174</v>
      </c>
      <c r="K16" s="5">
        <v>78.8</v>
      </c>
    </row>
    <row r="17" ht="15.6" spans="1:11">
      <c r="A17" s="4" t="s">
        <v>25</v>
      </c>
      <c r="B17" s="5">
        <v>100</v>
      </c>
      <c r="C17" s="5">
        <v>92.9</v>
      </c>
      <c r="D17" s="5">
        <v>100</v>
      </c>
      <c r="E17" s="5">
        <v>100</v>
      </c>
      <c r="F17" s="8">
        <v>4.607</v>
      </c>
      <c r="G17" s="5">
        <v>1087</v>
      </c>
      <c r="H17" s="5">
        <v>662</v>
      </c>
      <c r="I17" s="5">
        <v>1749</v>
      </c>
      <c r="J17" s="5">
        <v>0.0003073</v>
      </c>
      <c r="K17" s="5">
        <v>81.8</v>
      </c>
    </row>
    <row r="18" ht="15.6" spans="1:11">
      <c r="A18" s="4" t="s">
        <v>26</v>
      </c>
      <c r="B18" s="5">
        <v>100</v>
      </c>
      <c r="C18" s="5">
        <v>66.7</v>
      </c>
      <c r="D18" s="5">
        <v>94</v>
      </c>
      <c r="E18" s="5">
        <v>100</v>
      </c>
      <c r="F18" s="8">
        <v>4.975</v>
      </c>
      <c r="G18" s="5">
        <v>1075</v>
      </c>
      <c r="H18" s="5">
        <v>718</v>
      </c>
      <c r="I18" s="5">
        <v>1793</v>
      </c>
      <c r="J18" s="5">
        <v>0.0003229</v>
      </c>
      <c r="K18" s="5">
        <v>89.4</v>
      </c>
    </row>
    <row r="19" ht="15.6" spans="1:11">
      <c r="A19" s="4" t="s">
        <v>27</v>
      </c>
      <c r="B19" s="5">
        <v>100</v>
      </c>
      <c r="C19" s="5">
        <v>100</v>
      </c>
      <c r="D19" s="5">
        <v>100</v>
      </c>
      <c r="E19" s="5">
        <v>100</v>
      </c>
      <c r="F19" s="8">
        <v>7.873</v>
      </c>
      <c r="G19" s="5">
        <v>1511</v>
      </c>
      <c r="H19" s="5">
        <v>1138</v>
      </c>
      <c r="I19" s="5">
        <v>2649</v>
      </c>
      <c r="J19" s="5">
        <v>0.0004925</v>
      </c>
      <c r="K19" s="5">
        <v>91</v>
      </c>
    </row>
    <row r="20" ht="15.6" spans="1:11">
      <c r="A20" s="4" t="s">
        <v>28</v>
      </c>
      <c r="B20" s="5">
        <v>100</v>
      </c>
      <c r="C20" s="5">
        <v>100</v>
      </c>
      <c r="D20" s="5">
        <v>100</v>
      </c>
      <c r="E20" s="5">
        <v>77.4</v>
      </c>
      <c r="F20" s="8">
        <v>8.125</v>
      </c>
      <c r="G20" s="5">
        <v>1194</v>
      </c>
      <c r="H20" s="5">
        <v>1179</v>
      </c>
      <c r="I20" s="5">
        <v>2373</v>
      </c>
      <c r="J20" s="5">
        <v>0.0004731</v>
      </c>
      <c r="K20" s="5">
        <v>91.8</v>
      </c>
    </row>
    <row r="21" ht="15.6" spans="1:11">
      <c r="A21" s="4" t="s">
        <v>29</v>
      </c>
      <c r="B21" s="5">
        <v>100</v>
      </c>
      <c r="C21" s="5">
        <v>93.9</v>
      </c>
      <c r="D21" s="5">
        <v>99</v>
      </c>
      <c r="E21" s="5">
        <v>93.5</v>
      </c>
      <c r="F21" s="8">
        <v>11.773</v>
      </c>
      <c r="G21" s="5">
        <v>1236</v>
      </c>
      <c r="H21" s="5">
        <v>1715</v>
      </c>
      <c r="I21" s="5">
        <v>2951</v>
      </c>
      <c r="J21" s="5">
        <v>0.0006381</v>
      </c>
      <c r="K21" s="5">
        <v>85.8</v>
      </c>
    </row>
    <row r="22" ht="15.6" spans="1:11">
      <c r="A22" s="4" t="s">
        <v>30</v>
      </c>
      <c r="B22" s="5">
        <v>100</v>
      </c>
      <c r="C22" s="5">
        <v>90</v>
      </c>
      <c r="D22" s="5">
        <v>98</v>
      </c>
      <c r="E22" s="5">
        <v>62.5</v>
      </c>
      <c r="F22" s="8">
        <v>5.431</v>
      </c>
      <c r="G22" s="1">
        <v>1054</v>
      </c>
      <c r="H22" s="5">
        <v>784</v>
      </c>
      <c r="I22" s="5">
        <v>1838</v>
      </c>
      <c r="J22" s="5">
        <v>0.0003406</v>
      </c>
      <c r="K22" s="5">
        <v>82.8</v>
      </c>
    </row>
    <row r="23" ht="15.6" spans="2:11">
      <c r="B23" s="9">
        <f t="shared" ref="B23:J23" si="0">AVERAGE(B3:B22)</f>
        <v>99.95</v>
      </c>
      <c r="C23" s="9">
        <f t="shared" si="0"/>
        <v>83.67</v>
      </c>
      <c r="D23" s="9">
        <f t="shared" si="0"/>
        <v>96.6</v>
      </c>
      <c r="E23" s="9">
        <f t="shared" si="0"/>
        <v>72.88</v>
      </c>
      <c r="F23" s="9">
        <f t="shared" si="0"/>
        <v>8.2168</v>
      </c>
      <c r="G23" s="4">
        <f t="shared" si="0"/>
        <v>1557.4</v>
      </c>
      <c r="H23" s="9">
        <f t="shared" si="0"/>
        <v>1185.65</v>
      </c>
      <c r="I23" s="9">
        <f t="shared" si="0"/>
        <v>2743.05</v>
      </c>
      <c r="J23" s="9">
        <f t="shared" si="0"/>
        <v>0.000511435</v>
      </c>
      <c r="K23" s="9">
        <f>AVERAGE(K3:K22)</f>
        <v>84.21</v>
      </c>
    </row>
  </sheetData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zoomScale="85" zoomScaleNormal="85" workbookViewId="0">
      <selection activeCell="K15" sqref="K15"/>
    </sheetView>
  </sheetViews>
  <sheetFormatPr defaultColWidth="12.2222222222222" defaultRowHeight="15" outlineLevelRow="5"/>
  <cols>
    <col min="1" max="1" width="22.5555555555556" style="1" customWidth="1"/>
    <col min="2" max="2" width="27.5555555555556" style="1" customWidth="1"/>
    <col min="3" max="3" width="21" style="1" customWidth="1"/>
    <col min="4" max="5" width="23" style="1" customWidth="1"/>
    <col min="6" max="6" width="22" style="1" customWidth="1"/>
    <col min="7" max="7" width="18" style="1" customWidth="1"/>
    <col min="8" max="8" width="22.7777777777778" style="1" customWidth="1"/>
    <col min="9" max="9" width="15.4444444444444" style="1" customWidth="1"/>
    <col min="10" max="10" width="16.4444444444444" style="1" customWidth="1"/>
    <col min="11" max="11" width="25.4444444444444" style="1" customWidth="1"/>
    <col min="12" max="16384" width="12.2222222222222" style="2" customWidth="1"/>
  </cols>
  <sheetData>
    <row r="1" ht="15.6" spans="1:11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5.6" spans="1:11">
      <c r="A2" s="4" t="s">
        <v>31</v>
      </c>
      <c r="B2" s="5">
        <f>'Gemini 3 Pro'!B23</f>
        <v>99.9</v>
      </c>
      <c r="C2" s="5">
        <f>'Gemini 3 Pro'!C23</f>
        <v>96.665</v>
      </c>
      <c r="D2" s="5">
        <f>'Gemini 3 Pro'!D23</f>
        <v>99.6</v>
      </c>
      <c r="E2" s="5">
        <f>'Gemini 3 Pro'!E23</f>
        <v>88.335</v>
      </c>
      <c r="F2" s="5">
        <f>'Gemini 3 Pro'!F23</f>
        <v>65.96475</v>
      </c>
      <c r="G2" s="5">
        <f>'Gemini 3 Pro'!G23</f>
        <v>5749.75</v>
      </c>
      <c r="H2" s="5">
        <f>'Gemini 3 Pro'!H23</f>
        <v>5826.8</v>
      </c>
      <c r="I2" s="5">
        <f>'Gemini 3 Pro'!I23</f>
        <v>7620.95</v>
      </c>
      <c r="J2" s="5">
        <f>'Gemini 3 Pro'!J23</f>
        <v>0.0735099</v>
      </c>
      <c r="K2" s="5">
        <f>'Gemini 3 Pro'!K23</f>
        <v>86.9</v>
      </c>
    </row>
    <row r="3" ht="15.6" spans="1:11">
      <c r="A3" s="4" t="s">
        <v>33</v>
      </c>
      <c r="B3" s="5">
        <f>'GPT-5 Mini'!B23</f>
        <v>99.85</v>
      </c>
      <c r="C3" s="5">
        <f>'GPT-5 Mini'!C23</f>
        <v>93.67</v>
      </c>
      <c r="D3" s="5">
        <f>'GPT-5 Mini'!D23</f>
        <v>99.2</v>
      </c>
      <c r="E3" s="5">
        <f>'GPT-5 Mini'!E23</f>
        <v>87.575</v>
      </c>
      <c r="F3" s="5">
        <f>'GPT-5 Mini'!F23</f>
        <v>39.8397</v>
      </c>
      <c r="G3" s="5">
        <f>'GPT-5 Mini'!G23</f>
        <v>1578.4</v>
      </c>
      <c r="H3" s="5">
        <f>'GPT-5 Mini'!H23</f>
        <v>2869.65</v>
      </c>
      <c r="I3" s="5">
        <f>'GPT-5 Mini'!I23</f>
        <v>4448.05</v>
      </c>
      <c r="J3" s="5">
        <f>'GPT-5 Mini'!J23</f>
        <v>0.0061339</v>
      </c>
      <c r="K3" s="5">
        <f>'GPT-5 Mini'!K23</f>
        <v>85.84</v>
      </c>
    </row>
    <row r="4" ht="15.6" spans="1:11">
      <c r="A4" s="4" t="s">
        <v>0</v>
      </c>
      <c r="B4" s="5">
        <f>'DeepSeek R1 0528'!B23</f>
        <v>99.95</v>
      </c>
      <c r="C4" s="5">
        <f>'DeepSeek R1 0528'!C23</f>
        <v>91.21</v>
      </c>
      <c r="D4" s="5">
        <f>'DeepSeek R1 0528'!D23</f>
        <v>98.6</v>
      </c>
      <c r="E4" s="5">
        <f>'DeepSeek R1 0528'!E23</f>
        <v>83.555</v>
      </c>
      <c r="F4" s="5">
        <f>'DeepSeek R1 0528'!F23</f>
        <v>204.5098</v>
      </c>
      <c r="G4" s="5">
        <f>'DeepSeek R1 0528'!G23</f>
        <v>1914.55</v>
      </c>
      <c r="H4" s="5">
        <f>'DeepSeek R1 0528'!H23</f>
        <v>5221.1</v>
      </c>
      <c r="I4" s="5">
        <f>'DeepSeek R1 0528'!I23</f>
        <v>7135.65</v>
      </c>
      <c r="J4" s="5">
        <f>'DeepSeek R1 0528'!J23</f>
        <v>0.01406228</v>
      </c>
      <c r="K4" s="5">
        <f>'DeepSeek R1 0528'!K23</f>
        <v>87.08</v>
      </c>
    </row>
    <row r="5" ht="15.6" spans="1:11">
      <c r="A5" s="4" t="s">
        <v>34</v>
      </c>
      <c r="B5" s="5">
        <f>'Qwen3 Coder 30B'!B23</f>
        <v>99.95</v>
      </c>
      <c r="C5" s="5">
        <f>'Qwen3 Coder 30B'!C23</f>
        <v>83.67</v>
      </c>
      <c r="D5" s="5">
        <f>'Qwen3 Coder 30B'!D23</f>
        <v>96.6</v>
      </c>
      <c r="E5" s="5">
        <f>'Qwen3 Coder 30B'!E23</f>
        <v>72.88</v>
      </c>
      <c r="F5" s="5">
        <f>'Qwen3 Coder 30B'!F23</f>
        <v>8.2168</v>
      </c>
      <c r="G5" s="5">
        <f>'Qwen3 Coder 30B'!G23</f>
        <v>1557.4</v>
      </c>
      <c r="H5" s="5">
        <f>'Qwen3 Coder 30B'!H23</f>
        <v>1185.65</v>
      </c>
      <c r="I5" s="5">
        <f>'Qwen3 Coder 30B'!I23</f>
        <v>2743.05</v>
      </c>
      <c r="J5" s="5">
        <f>'Qwen3 Coder 30B'!J23</f>
        <v>0.000511435</v>
      </c>
      <c r="K5" s="5">
        <f>'Qwen3 Coder 30B'!K23</f>
        <v>84.21</v>
      </c>
    </row>
    <row r="6" ht="15.6" spans="1:11">
      <c r="A6" s="4" t="s">
        <v>32</v>
      </c>
      <c r="B6" s="5">
        <f>'GLM-4.5-Air'!B23</f>
        <v>97.45</v>
      </c>
      <c r="C6" s="5">
        <f>'GLM-4.5-Air'!C23</f>
        <v>82.315</v>
      </c>
      <c r="D6" s="5">
        <f>'GLM-4.5-Air'!D23</f>
        <v>92.15</v>
      </c>
      <c r="E6" s="5">
        <f>'GLM-4.5-Air'!E23</f>
        <v>82.34</v>
      </c>
      <c r="F6" s="5">
        <f>'GLM-4.5-Air'!F23</f>
        <v>14.76365</v>
      </c>
      <c r="G6" s="5">
        <f>'GLM-4.5-Air'!G23</f>
        <v>1553.8</v>
      </c>
      <c r="H6" s="5">
        <f>'GLM-4.5-Air'!H23</f>
        <v>1572.7</v>
      </c>
      <c r="I6" s="5">
        <f>'GLM-4.5-Air'!I23</f>
        <v>3126.5</v>
      </c>
      <c r="J6" s="5">
        <f>'GLM-4.5-Air'!J23</f>
        <v>0.0011527088</v>
      </c>
      <c r="K6" s="5">
        <f>'GLM-4.5-Air'!K23</f>
        <v>81.86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DeepSeek R1 0528</vt:lpstr>
      <vt:lpstr>Gemini 3 Pro</vt:lpstr>
      <vt:lpstr>GLM-4.5-Air</vt:lpstr>
      <vt:lpstr>GPT-5 Mini</vt:lpstr>
      <vt:lpstr>Qwen3 Coder 30B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887tr</dc:creator>
  <cp:lastModifiedBy>887tr</cp:lastModifiedBy>
  <dcterms:created xsi:type="dcterms:W3CDTF">2025-12-08T15:23:00Z</dcterms:created>
  <dcterms:modified xsi:type="dcterms:W3CDTF">2025-12-10T00:57:10Z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638B4D2F48F3410F9404B6CCEC244970_11</vt:lpwstr>
  </property>
  <property fmtid="{D5CDD505-2E9C-101B-9397-08002B2CF9AE}" pid="3" name="KSOProductBuildVer">
    <vt:lpwstr>1049-12.2.0.23149</vt:lpwstr>
  </property>
</Properties>
</file>